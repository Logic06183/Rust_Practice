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4.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mc:AlternateContent xmlns:mc="http://schemas.openxmlformats.org/markup-compatibility/2006">
    <mc:Choice Requires="x15">
      <x15ac:absPath xmlns:x15ac="http://schemas.microsoft.com/office/spreadsheetml/2010/11/ac" url="https://wrhiza-my.sharepoint.com/personal/cparker_wrhi_ac_za/Documents/"/>
    </mc:Choice>
  </mc:AlternateContent>
  <xr:revisionPtr revIDLastSave="0" documentId="8_{89F4A94E-92DD-4A50-ADEC-F6A66AB86886}" xr6:coauthVersionLast="47" xr6:coauthVersionMax="47" xr10:uidLastSave="{00000000-0000-0000-0000-000000000000}"/>
  <workbookProtection workbookAlgorithmName="SHA-512" workbookHashValue="zwvh2zVsDhT99hPMjo+E1KHPoOzFhXSiLmFs4803p7cqcUvOw6eoCfxw5Wd8bGJ0BC6OAmcQ0j+oYjycKvv/5g==" workbookSaltValue="nZjjI7GJdPZ5KarSf0XdZQ==" workbookSpinCount="100000" lockStructure="1"/>
  <bookViews>
    <workbookView xWindow="-110" yWindow="-110" windowWidth="19420" windowHeight="10300" activeTab="4" xr2:uid="{00000000-000D-0000-FFFF-FFFF00000000}"/>
  </bookViews>
  <sheets>
    <sheet name="Setup" sheetId="6" r:id="rId1"/>
    <sheet name="A-KPA Review" sheetId="2" r:id="rId2"/>
    <sheet name="B-Competency Review" sheetId="7" r:id="rId3"/>
    <sheet name="C-Plan" sheetId="8" r:id="rId4"/>
    <sheet name="D-Summary" sheetId="1" r:id="rId5"/>
    <sheet name="Factor Lookup" sheetId="4" state="hidden" r:id="rId6"/>
    <sheet name="Competency Lookup" sheetId="5" state="hidden" r:id="rId7"/>
  </sheets>
  <definedNames>
    <definedName name="KPA_B" localSheetId="3">'C-Plan'!$24:$37</definedName>
    <definedName name="KPA_B">'A-KPA Review'!$37:$47</definedName>
    <definedName name="KPA_C" localSheetId="3">'C-Plan'!$38:$51</definedName>
    <definedName name="KPA_C">'A-KPA Review'!$48:$58</definedName>
    <definedName name="KPA_D" localSheetId="3">'C-Plan'!$52:$65</definedName>
    <definedName name="KPA_D">'A-KPA Review'!$59:$69</definedName>
    <definedName name="KPA_E" localSheetId="3">'C-Plan'!$66:$79</definedName>
    <definedName name="KPA_E">'A-KPA Review'!$70:$80</definedName>
    <definedName name="KPA_F" localSheetId="3">'C-Plan'!$80:$93</definedName>
    <definedName name="KPA_F">'A-KPA Review'!$81:$91</definedName>
    <definedName name="KPA_G" localSheetId="3">'C-Plan'!$94:$107</definedName>
    <definedName name="KPA_G">'A-KPA Review'!$92:$102</definedName>
    <definedName name="KPA_H" localSheetId="3">'C-Plan'!$108:$121</definedName>
    <definedName name="KPA_H">'A-KPA Review'!$103:$113</definedName>
    <definedName name="KPA_I" localSheetId="3">'C-Plan'!$122:$135</definedName>
    <definedName name="KPA_I">'A-KPA Review'!$114:$124</definedName>
    <definedName name="KPA_J" localSheetId="3">'C-Plan'!$136:$151</definedName>
    <definedName name="KPA_J">'A-KPA Review'!$125:$135</definedName>
    <definedName name="KPA_Setup" localSheetId="3">'C-Plan'!#REF!</definedName>
    <definedName name="KPA_Setup">'A-KPA Review'!#REF!</definedName>
    <definedName name="_xlnm.Print_Area" localSheetId="1">'A-KPA Review'!$C$24:$K$137</definedName>
    <definedName name="_xlnm.Print_Area" localSheetId="2">'B-Competency Review'!$B$17:$J$55</definedName>
    <definedName name="_xlnm.Print_Area" localSheetId="6">'Competency Lookup'!$A$6:$O$27</definedName>
    <definedName name="_xlnm.Print_Area" localSheetId="3">'C-Plan'!$C$8:$F$220</definedName>
    <definedName name="_xlnm.Print_Area" localSheetId="4">'D-Summary'!$C$2:$F$37</definedName>
    <definedName name="_xlnm.Print_Area" localSheetId="5">'Factor Lookup'!$A$5:$D$68</definedName>
    <definedName name="_xlnm.Print_Area" localSheetId="0">Setup!$A$1:$C$23</definedName>
    <definedName name="_xlnm.Print_Titles" localSheetId="1">'A-KPA Review'!$2:$8</definedName>
    <definedName name="_xlnm.Print_Titles" localSheetId="2">'B-Competency Review'!$2:$8</definedName>
    <definedName name="_xlnm.Print_Titles" localSheetId="6">'Competency Lookup'!$1:$6</definedName>
    <definedName name="_xlnm.Print_Titles" localSheetId="3">'C-Plan'!$2:$7</definedName>
    <definedName name="_xlnm.Print_Titles" localSheetId="5">'Factor Lookup'!$1:$4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5" i="8" l="1"/>
  <c r="A135" i="2"/>
  <c r="A124" i="2"/>
  <c r="A113" i="2"/>
  <c r="A102" i="2"/>
  <c r="A91" i="2"/>
  <c r="A80" i="2"/>
  <c r="A69" i="2"/>
  <c r="A58" i="2"/>
  <c r="A47" i="2"/>
  <c r="M125" i="2"/>
  <c r="M114" i="2"/>
  <c r="M103" i="2"/>
  <c r="M92" i="2"/>
  <c r="M81" i="2"/>
  <c r="M70" i="2"/>
  <c r="M59" i="2"/>
  <c r="M48" i="2"/>
  <c r="M37" i="2"/>
  <c r="M26" i="2"/>
  <c r="A36" i="2"/>
  <c r="C206" i="8"/>
  <c r="A206" i="8"/>
  <c r="C205" i="8"/>
  <c r="A205" i="8"/>
  <c r="C204" i="8"/>
  <c r="A204" i="8"/>
  <c r="C203" i="8"/>
  <c r="A203" i="8"/>
  <c r="C202" i="8"/>
  <c r="A202" i="8"/>
  <c r="C201" i="8"/>
  <c r="A201" i="8"/>
  <c r="C200" i="8"/>
  <c r="A200" i="8"/>
  <c r="C199" i="8"/>
  <c r="A199" i="8"/>
  <c r="C198" i="8"/>
  <c r="A198" i="8"/>
  <c r="C197" i="8"/>
  <c r="A197" i="8"/>
  <c r="C195" i="8"/>
  <c r="A195" i="8"/>
  <c r="C194" i="8"/>
  <c r="A194" i="8"/>
  <c r="C193" i="8"/>
  <c r="A193" i="8"/>
  <c r="C192" i="8"/>
  <c r="A192" i="8"/>
  <c r="A151" i="8"/>
  <c r="A209" i="8"/>
  <c r="A189" i="8"/>
  <c r="A196" i="8" s="1"/>
  <c r="A191" i="8"/>
  <c r="A186" i="8"/>
  <c r="A175" i="8"/>
  <c r="A145" i="8"/>
  <c r="A144" i="8"/>
  <c r="A143" i="8"/>
  <c r="A142" i="8"/>
  <c r="A141" i="8"/>
  <c r="A140" i="8"/>
  <c r="A139" i="8"/>
  <c r="A138" i="8"/>
  <c r="A137" i="8"/>
  <c r="A136" i="8"/>
  <c r="A131" i="8"/>
  <c r="A130" i="8"/>
  <c r="A129" i="8"/>
  <c r="A128" i="8"/>
  <c r="A127" i="8"/>
  <c r="A126" i="8"/>
  <c r="A125" i="8"/>
  <c r="A124" i="8"/>
  <c r="A123" i="8"/>
  <c r="A122" i="8"/>
  <c r="A135" i="8" s="1"/>
  <c r="A117" i="8"/>
  <c r="A116" i="8"/>
  <c r="A115" i="8"/>
  <c r="A114" i="8"/>
  <c r="A113" i="8"/>
  <c r="A112" i="8"/>
  <c r="A111" i="8"/>
  <c r="A110" i="8"/>
  <c r="A109" i="8"/>
  <c r="A108" i="8"/>
  <c r="A103" i="8"/>
  <c r="A102" i="8"/>
  <c r="A101" i="8"/>
  <c r="A100" i="8"/>
  <c r="A99" i="8"/>
  <c r="A98" i="8"/>
  <c r="A97" i="8"/>
  <c r="A96" i="8"/>
  <c r="A95" i="8"/>
  <c r="A94" i="8"/>
  <c r="A107" i="8" s="1"/>
  <c r="A89" i="8"/>
  <c r="A88" i="8"/>
  <c r="A87" i="8"/>
  <c r="A86" i="8"/>
  <c r="A85" i="8"/>
  <c r="A84" i="8"/>
  <c r="A83" i="8"/>
  <c r="A82" i="8"/>
  <c r="A81" i="8"/>
  <c r="A80" i="8"/>
  <c r="A75" i="8"/>
  <c r="A74" i="8"/>
  <c r="A73" i="8"/>
  <c r="A72" i="8"/>
  <c r="A71" i="8"/>
  <c r="A70" i="8"/>
  <c r="A69" i="8"/>
  <c r="A68" i="8"/>
  <c r="A67" i="8"/>
  <c r="A66" i="8"/>
  <c r="A79" i="8" s="1"/>
  <c r="A61" i="8"/>
  <c r="A60" i="8"/>
  <c r="A59" i="8"/>
  <c r="A58" i="8"/>
  <c r="A57" i="8"/>
  <c r="A56" i="8"/>
  <c r="A55" i="8"/>
  <c r="A54" i="8"/>
  <c r="A53" i="8"/>
  <c r="A52" i="8"/>
  <c r="A47" i="8"/>
  <c r="A46" i="8"/>
  <c r="A45" i="8"/>
  <c r="A44" i="8"/>
  <c r="A43" i="8"/>
  <c r="A42" i="8"/>
  <c r="A41" i="8"/>
  <c r="A40" i="8"/>
  <c r="A39" i="8"/>
  <c r="A38" i="8"/>
  <c r="E19" i="8"/>
  <c r="D19" i="8"/>
  <c r="E18" i="8"/>
  <c r="D18" i="8"/>
  <c r="E17" i="8"/>
  <c r="D17" i="8"/>
  <c r="E16" i="8"/>
  <c r="D16" i="8"/>
  <c r="E15" i="8"/>
  <c r="D15" i="8"/>
  <c r="E14" i="8"/>
  <c r="D14" i="8"/>
  <c r="E13" i="8"/>
  <c r="D13" i="8"/>
  <c r="A33" i="8"/>
  <c r="A32" i="8"/>
  <c r="A31" i="8"/>
  <c r="A30" i="8"/>
  <c r="A29" i="8"/>
  <c r="A28" i="8"/>
  <c r="A27" i="8"/>
  <c r="A26" i="8"/>
  <c r="A25" i="8"/>
  <c r="A24" i="8"/>
  <c r="A37" i="8" s="1"/>
  <c r="A19" i="8"/>
  <c r="A18" i="8"/>
  <c r="A17" i="8"/>
  <c r="A16" i="8"/>
  <c r="A15" i="8"/>
  <c r="A14" i="8"/>
  <c r="A13" i="8"/>
  <c r="A12" i="8"/>
  <c r="A11" i="8"/>
  <c r="A10" i="8"/>
  <c r="A23" i="8" s="1"/>
  <c r="L52" i="7"/>
  <c r="L50" i="7"/>
  <c r="L48" i="7"/>
  <c r="L46" i="7"/>
  <c r="L44" i="7"/>
  <c r="L42" i="7"/>
  <c r="L40" i="7"/>
  <c r="L38" i="7"/>
  <c r="L36" i="7"/>
  <c r="L34" i="7"/>
  <c r="L27" i="7"/>
  <c r="L25" i="7"/>
  <c r="L23" i="7"/>
  <c r="L21" i="7"/>
  <c r="L19" i="7"/>
  <c r="A164" i="8"/>
  <c r="A187" i="8"/>
  <c r="C191" i="8"/>
  <c r="A211" i="8"/>
  <c r="A153" i="8"/>
  <c r="A216" i="8"/>
  <c r="A215" i="8"/>
  <c r="D12" i="8"/>
  <c r="E12" i="8"/>
  <c r="A149" i="8"/>
  <c r="A121" i="8"/>
  <c r="A93" i="8"/>
  <c r="A65" i="8"/>
  <c r="A51" i="8"/>
  <c r="E145" i="8"/>
  <c r="D145" i="8"/>
  <c r="C145" i="8"/>
  <c r="E131" i="8"/>
  <c r="D131" i="8"/>
  <c r="C131" i="8"/>
  <c r="E117" i="8"/>
  <c r="D117" i="8"/>
  <c r="C117" i="8"/>
  <c r="E103" i="8"/>
  <c r="D103" i="8"/>
  <c r="C103" i="8"/>
  <c r="E89" i="8"/>
  <c r="D89" i="8"/>
  <c r="C89" i="8"/>
  <c r="E75" i="8"/>
  <c r="D75" i="8"/>
  <c r="C75" i="8"/>
  <c r="E61" i="8"/>
  <c r="D61" i="8"/>
  <c r="C61" i="8"/>
  <c r="E47" i="8"/>
  <c r="D47" i="8"/>
  <c r="C47" i="8"/>
  <c r="E33" i="8"/>
  <c r="D33" i="8"/>
  <c r="C33" i="8"/>
  <c r="C19" i="8"/>
  <c r="E136" i="8"/>
  <c r="E122" i="8"/>
  <c r="E108" i="8"/>
  <c r="E94" i="8"/>
  <c r="E80" i="8"/>
  <c r="E66" i="8"/>
  <c r="E52" i="8"/>
  <c r="E38" i="8"/>
  <c r="E24" i="8"/>
  <c r="E10" i="8"/>
  <c r="E144" i="8"/>
  <c r="D144" i="8"/>
  <c r="C144" i="8"/>
  <c r="E143" i="8"/>
  <c r="D143" i="8"/>
  <c r="C143" i="8"/>
  <c r="E142" i="8"/>
  <c r="D142" i="8"/>
  <c r="C142" i="8"/>
  <c r="E141" i="8"/>
  <c r="D141" i="8"/>
  <c r="C141" i="8"/>
  <c r="E140" i="8"/>
  <c r="D140" i="8"/>
  <c r="C140" i="8"/>
  <c r="E139" i="8"/>
  <c r="D139" i="8"/>
  <c r="C139" i="8"/>
  <c r="E138" i="8"/>
  <c r="D138" i="8"/>
  <c r="C138" i="8"/>
  <c r="E137" i="8"/>
  <c r="D137" i="8"/>
  <c r="C137" i="8"/>
  <c r="D136" i="8"/>
  <c r="C136" i="8"/>
  <c r="E130" i="8"/>
  <c r="D130" i="8"/>
  <c r="C130" i="8"/>
  <c r="E129" i="8"/>
  <c r="D129" i="8"/>
  <c r="C129" i="8"/>
  <c r="E128" i="8"/>
  <c r="D128" i="8"/>
  <c r="C128" i="8"/>
  <c r="E127" i="8"/>
  <c r="D127" i="8"/>
  <c r="C127" i="8"/>
  <c r="E126" i="8"/>
  <c r="D126" i="8"/>
  <c r="C126" i="8"/>
  <c r="E125" i="8"/>
  <c r="D125" i="8"/>
  <c r="C125" i="8"/>
  <c r="E124" i="8"/>
  <c r="D124" i="8"/>
  <c r="C124" i="8"/>
  <c r="E123" i="8"/>
  <c r="D123" i="8"/>
  <c r="C123" i="8"/>
  <c r="D122" i="8"/>
  <c r="C122" i="8"/>
  <c r="E116" i="8"/>
  <c r="D116" i="8"/>
  <c r="C116" i="8"/>
  <c r="E115" i="8"/>
  <c r="D115" i="8"/>
  <c r="C115" i="8"/>
  <c r="E114" i="8"/>
  <c r="D114" i="8"/>
  <c r="C114" i="8"/>
  <c r="E113" i="8"/>
  <c r="D113" i="8"/>
  <c r="C113" i="8"/>
  <c r="E112" i="8"/>
  <c r="D112" i="8"/>
  <c r="C112" i="8"/>
  <c r="E111" i="8"/>
  <c r="D111" i="8"/>
  <c r="C111" i="8"/>
  <c r="E110" i="8"/>
  <c r="D110" i="8"/>
  <c r="C110" i="8"/>
  <c r="E109" i="8"/>
  <c r="D109" i="8"/>
  <c r="C109" i="8"/>
  <c r="D108" i="8"/>
  <c r="C108" i="8"/>
  <c r="E102" i="8"/>
  <c r="D102" i="8"/>
  <c r="C102" i="8"/>
  <c r="E101" i="8"/>
  <c r="D101" i="8"/>
  <c r="C101" i="8"/>
  <c r="E100" i="8"/>
  <c r="D100" i="8"/>
  <c r="C100" i="8"/>
  <c r="E99" i="8"/>
  <c r="D99" i="8"/>
  <c r="C99" i="8"/>
  <c r="E98" i="8"/>
  <c r="D98" i="8"/>
  <c r="C98" i="8"/>
  <c r="E97" i="8"/>
  <c r="D97" i="8"/>
  <c r="C97" i="8"/>
  <c r="E96" i="8"/>
  <c r="D96" i="8"/>
  <c r="C96" i="8"/>
  <c r="E95" i="8"/>
  <c r="D95" i="8"/>
  <c r="C95" i="8"/>
  <c r="D94" i="8"/>
  <c r="C94" i="8"/>
  <c r="E88" i="8"/>
  <c r="D88" i="8"/>
  <c r="C88" i="8"/>
  <c r="E87" i="8"/>
  <c r="D87" i="8"/>
  <c r="C87" i="8"/>
  <c r="E86" i="8"/>
  <c r="D86" i="8"/>
  <c r="C86" i="8"/>
  <c r="E85" i="8"/>
  <c r="D85" i="8"/>
  <c r="C85" i="8"/>
  <c r="E84" i="8"/>
  <c r="D84" i="8"/>
  <c r="C84" i="8"/>
  <c r="E83" i="8"/>
  <c r="D83" i="8"/>
  <c r="C83" i="8"/>
  <c r="E82" i="8"/>
  <c r="D82" i="8"/>
  <c r="C82" i="8"/>
  <c r="E81" i="8"/>
  <c r="D81" i="8"/>
  <c r="C81" i="8"/>
  <c r="D80" i="8"/>
  <c r="C80" i="8"/>
  <c r="E74" i="8"/>
  <c r="D74" i="8"/>
  <c r="C74" i="8"/>
  <c r="E73" i="8"/>
  <c r="D73" i="8"/>
  <c r="C73" i="8"/>
  <c r="E72" i="8"/>
  <c r="D72" i="8"/>
  <c r="C72" i="8"/>
  <c r="E71" i="8"/>
  <c r="D71" i="8"/>
  <c r="C71" i="8"/>
  <c r="E70" i="8"/>
  <c r="D70" i="8"/>
  <c r="C70" i="8"/>
  <c r="E69" i="8"/>
  <c r="D69" i="8"/>
  <c r="C69" i="8"/>
  <c r="E68" i="8"/>
  <c r="D68" i="8"/>
  <c r="C68" i="8"/>
  <c r="E67" i="8"/>
  <c r="D67" i="8"/>
  <c r="C67" i="8"/>
  <c r="D66" i="8"/>
  <c r="C66" i="8"/>
  <c r="E60" i="8"/>
  <c r="D60" i="8"/>
  <c r="C60" i="8"/>
  <c r="E59" i="8"/>
  <c r="D59" i="8"/>
  <c r="C59" i="8"/>
  <c r="E58" i="8"/>
  <c r="D58" i="8"/>
  <c r="C58" i="8"/>
  <c r="E57" i="8"/>
  <c r="D57" i="8"/>
  <c r="C57" i="8"/>
  <c r="E56" i="8"/>
  <c r="D56" i="8"/>
  <c r="C56" i="8"/>
  <c r="E55" i="8"/>
  <c r="C55" i="8"/>
  <c r="E54" i="8"/>
  <c r="D54" i="8"/>
  <c r="C54" i="8"/>
  <c r="E53" i="8"/>
  <c r="D53" i="8"/>
  <c r="C53" i="8"/>
  <c r="D52" i="8"/>
  <c r="C52" i="8"/>
  <c r="E46" i="8"/>
  <c r="D46" i="8"/>
  <c r="C46" i="8"/>
  <c r="E45" i="8"/>
  <c r="D45" i="8"/>
  <c r="C45" i="8"/>
  <c r="E44" i="8"/>
  <c r="D44" i="8"/>
  <c r="C44" i="8"/>
  <c r="E43" i="8"/>
  <c r="D43" i="8"/>
  <c r="C43" i="8"/>
  <c r="E42" i="8"/>
  <c r="D42" i="8"/>
  <c r="C42" i="8"/>
  <c r="E41" i="8"/>
  <c r="D41" i="8"/>
  <c r="C41" i="8"/>
  <c r="E40" i="8"/>
  <c r="D40" i="8"/>
  <c r="C40" i="8"/>
  <c r="E39" i="8"/>
  <c r="D39" i="8"/>
  <c r="C39" i="8"/>
  <c r="D38" i="8"/>
  <c r="C38" i="8"/>
  <c r="E32" i="8"/>
  <c r="D32" i="8"/>
  <c r="C32" i="8"/>
  <c r="E31" i="8"/>
  <c r="D31" i="8"/>
  <c r="C31" i="8"/>
  <c r="E30" i="8"/>
  <c r="D30" i="8"/>
  <c r="C30" i="8"/>
  <c r="E29" i="8"/>
  <c r="D29" i="8"/>
  <c r="C29" i="8"/>
  <c r="E28" i="8"/>
  <c r="D28" i="8"/>
  <c r="C28" i="8"/>
  <c r="E27" i="8"/>
  <c r="D27" i="8"/>
  <c r="C27" i="8"/>
  <c r="E26" i="8"/>
  <c r="D26" i="8"/>
  <c r="C26" i="8"/>
  <c r="E25" i="8"/>
  <c r="D25" i="8"/>
  <c r="C25" i="8"/>
  <c r="D24" i="8"/>
  <c r="C24" i="8"/>
  <c r="C10" i="8"/>
  <c r="D10" i="8"/>
  <c r="E11" i="8"/>
  <c r="C18" i="8"/>
  <c r="C17" i="8"/>
  <c r="C16" i="8"/>
  <c r="C15" i="8"/>
  <c r="C14" i="8"/>
  <c r="C13" i="8"/>
  <c r="C12" i="8"/>
  <c r="D11" i="8"/>
  <c r="C11" i="8"/>
  <c r="M5" i="5"/>
  <c r="J5" i="5"/>
  <c r="G5" i="5"/>
  <c r="D5" i="5"/>
  <c r="A66" i="4"/>
  <c r="C37" i="1"/>
  <c r="C220" i="8" s="1"/>
  <c r="C36" i="1"/>
  <c r="C219" i="8" s="1"/>
  <c r="C35" i="1"/>
  <c r="C218" i="8" s="1"/>
  <c r="C22" i="1"/>
  <c r="C21" i="1"/>
  <c r="C20" i="1"/>
  <c r="F10" i="1"/>
  <c r="D10" i="1"/>
  <c r="F9" i="1"/>
  <c r="D9" i="1"/>
  <c r="F6" i="1"/>
  <c r="C6" i="1"/>
  <c r="F5" i="1"/>
  <c r="C5" i="1"/>
  <c r="F4" i="1"/>
  <c r="C4" i="1"/>
  <c r="F3" i="1"/>
  <c r="F2" i="1"/>
  <c r="F6" i="8"/>
  <c r="C6" i="8"/>
  <c r="F5" i="8"/>
  <c r="C5" i="8"/>
  <c r="F4" i="8"/>
  <c r="C4" i="8"/>
  <c r="F3" i="8"/>
  <c r="F2" i="8"/>
  <c r="C53" i="7"/>
  <c r="E52" i="7"/>
  <c r="C52" i="7"/>
  <c r="D206" i="8" s="1"/>
  <c r="C51" i="7"/>
  <c r="E50" i="7"/>
  <c r="C50" i="7"/>
  <c r="D205" i="8" s="1"/>
  <c r="C49" i="7"/>
  <c r="E48" i="7"/>
  <c r="C48" i="7"/>
  <c r="D204" i="8" s="1"/>
  <c r="C47" i="7"/>
  <c r="E46" i="7"/>
  <c r="C46" i="7"/>
  <c r="D203" i="8" s="1"/>
  <c r="C45" i="7"/>
  <c r="E44" i="7"/>
  <c r="C44" i="7"/>
  <c r="D202" i="8" s="1"/>
  <c r="C43" i="7"/>
  <c r="E42" i="7"/>
  <c r="C42" i="7"/>
  <c r="D201" i="8" s="1"/>
  <c r="C41" i="7"/>
  <c r="E40" i="7"/>
  <c r="C40" i="7"/>
  <c r="D200" i="8" s="1"/>
  <c r="C39" i="7"/>
  <c r="E38" i="7"/>
  <c r="C38" i="7"/>
  <c r="D199" i="8" s="1"/>
  <c r="C37" i="7"/>
  <c r="E36" i="7"/>
  <c r="C36" i="7"/>
  <c r="D198" i="8" s="1"/>
  <c r="C35" i="7"/>
  <c r="E34" i="7"/>
  <c r="C34" i="7"/>
  <c r="D197" i="8" s="1"/>
  <c r="C28" i="7"/>
  <c r="E27" i="7"/>
  <c r="C27" i="7"/>
  <c r="D195" i="8" s="1"/>
  <c r="C26" i="7"/>
  <c r="E25" i="7"/>
  <c r="C25" i="7"/>
  <c r="D194" i="8" s="1"/>
  <c r="C24" i="7"/>
  <c r="E23" i="7"/>
  <c r="C23" i="7"/>
  <c r="D193" i="8" s="1"/>
  <c r="C22" i="7"/>
  <c r="E21" i="7"/>
  <c r="C21" i="7"/>
  <c r="D192" i="8" s="1"/>
  <c r="C20" i="7"/>
  <c r="E19" i="7"/>
  <c r="C19" i="7"/>
  <c r="D191" i="8" s="1"/>
  <c r="B14" i="7"/>
  <c r="B13" i="7"/>
  <c r="B12" i="7"/>
  <c r="B11" i="7"/>
  <c r="J6" i="7"/>
  <c r="B6" i="7"/>
  <c r="J5" i="7"/>
  <c r="B5" i="7"/>
  <c r="J4" i="7"/>
  <c r="B4" i="7"/>
  <c r="J3" i="7"/>
  <c r="J2" i="7"/>
  <c r="F134" i="2"/>
  <c r="E134" i="2"/>
  <c r="F133" i="2"/>
  <c r="E133" i="2"/>
  <c r="F132" i="2"/>
  <c r="E132" i="2"/>
  <c r="F131" i="2"/>
  <c r="E131" i="2"/>
  <c r="F130" i="2"/>
  <c r="E130" i="2"/>
  <c r="F129" i="2"/>
  <c r="E129" i="2"/>
  <c r="F128" i="2"/>
  <c r="E128" i="2"/>
  <c r="F127" i="2"/>
  <c r="E127" i="2"/>
  <c r="F126" i="2"/>
  <c r="E126" i="2"/>
  <c r="I125" i="2"/>
  <c r="G125" i="2" s="1"/>
  <c r="F123" i="2"/>
  <c r="E123" i="2"/>
  <c r="F122" i="2"/>
  <c r="E122" i="2"/>
  <c r="F121" i="2"/>
  <c r="E121" i="2"/>
  <c r="F120" i="2"/>
  <c r="E120" i="2"/>
  <c r="F119" i="2"/>
  <c r="E119" i="2"/>
  <c r="F118" i="2"/>
  <c r="E118" i="2"/>
  <c r="F117" i="2"/>
  <c r="E117" i="2"/>
  <c r="F116" i="2"/>
  <c r="E116" i="2"/>
  <c r="F115" i="2"/>
  <c r="E115" i="2"/>
  <c r="I114" i="2"/>
  <c r="G114" i="2" s="1"/>
  <c r="F112" i="2"/>
  <c r="E112" i="2"/>
  <c r="F111" i="2"/>
  <c r="E111" i="2"/>
  <c r="F110" i="2"/>
  <c r="E110" i="2"/>
  <c r="F109" i="2"/>
  <c r="E109" i="2"/>
  <c r="F108" i="2"/>
  <c r="E108" i="2"/>
  <c r="F107" i="2"/>
  <c r="E107" i="2"/>
  <c r="F106" i="2"/>
  <c r="E106" i="2"/>
  <c r="F105" i="2"/>
  <c r="E105" i="2"/>
  <c r="F104" i="2"/>
  <c r="E104" i="2"/>
  <c r="I103" i="2"/>
  <c r="G103" i="2" s="1"/>
  <c r="F101" i="2"/>
  <c r="E101" i="2"/>
  <c r="F100" i="2"/>
  <c r="E100" i="2"/>
  <c r="F99" i="2"/>
  <c r="E99" i="2"/>
  <c r="F98" i="2"/>
  <c r="E98" i="2"/>
  <c r="F97" i="2"/>
  <c r="E97" i="2"/>
  <c r="F96" i="2"/>
  <c r="E96" i="2"/>
  <c r="F95" i="2"/>
  <c r="E95" i="2"/>
  <c r="F94" i="2"/>
  <c r="E94" i="2"/>
  <c r="F93" i="2"/>
  <c r="E93" i="2"/>
  <c r="I92" i="2"/>
  <c r="G92" i="2" s="1"/>
  <c r="F90" i="2"/>
  <c r="E90" i="2"/>
  <c r="F89" i="2"/>
  <c r="E89" i="2"/>
  <c r="F88" i="2"/>
  <c r="E88" i="2"/>
  <c r="F87" i="2"/>
  <c r="E87" i="2"/>
  <c r="F86" i="2"/>
  <c r="E86" i="2"/>
  <c r="F85" i="2"/>
  <c r="E85" i="2"/>
  <c r="F84" i="2"/>
  <c r="E84" i="2"/>
  <c r="F83" i="2"/>
  <c r="E83" i="2"/>
  <c r="F82" i="2"/>
  <c r="E82" i="2"/>
  <c r="I81" i="2"/>
  <c r="F79" i="2"/>
  <c r="E79" i="2"/>
  <c r="F78" i="2"/>
  <c r="E78" i="2"/>
  <c r="F77" i="2"/>
  <c r="E77" i="2"/>
  <c r="F76" i="2"/>
  <c r="E76" i="2"/>
  <c r="F75" i="2"/>
  <c r="E75" i="2"/>
  <c r="F74" i="2"/>
  <c r="E74" i="2"/>
  <c r="F73" i="2"/>
  <c r="E73" i="2"/>
  <c r="F72" i="2"/>
  <c r="E72" i="2"/>
  <c r="F71" i="2"/>
  <c r="E71" i="2"/>
  <c r="I70" i="2"/>
  <c r="F68" i="2"/>
  <c r="E68" i="2"/>
  <c r="F67" i="2"/>
  <c r="E67" i="2"/>
  <c r="F66" i="2"/>
  <c r="E66" i="2"/>
  <c r="F65" i="2"/>
  <c r="E65" i="2"/>
  <c r="F64" i="2"/>
  <c r="E64" i="2"/>
  <c r="F63" i="2"/>
  <c r="E63" i="2"/>
  <c r="F62" i="2"/>
  <c r="E62" i="2"/>
  <c r="F61" i="2"/>
  <c r="E61" i="2"/>
  <c r="F60" i="2"/>
  <c r="E60" i="2"/>
  <c r="I59" i="2"/>
  <c r="F57" i="2"/>
  <c r="E57" i="2"/>
  <c r="F56" i="2"/>
  <c r="E56" i="2"/>
  <c r="F55" i="2"/>
  <c r="E55" i="2"/>
  <c r="F54" i="2"/>
  <c r="E54" i="2"/>
  <c r="F53" i="2"/>
  <c r="E53" i="2"/>
  <c r="F52" i="2"/>
  <c r="E52" i="2"/>
  <c r="F51" i="2"/>
  <c r="E51" i="2"/>
  <c r="F50" i="2"/>
  <c r="E50" i="2"/>
  <c r="F49" i="2"/>
  <c r="E49" i="2"/>
  <c r="I48" i="2"/>
  <c r="F46" i="2"/>
  <c r="E46" i="2"/>
  <c r="F45" i="2"/>
  <c r="E45" i="2"/>
  <c r="F44" i="2"/>
  <c r="E44" i="2"/>
  <c r="F43" i="2"/>
  <c r="E43" i="2"/>
  <c r="F42" i="2"/>
  <c r="E42" i="2"/>
  <c r="F41" i="2"/>
  <c r="E41" i="2"/>
  <c r="F40" i="2"/>
  <c r="E40" i="2"/>
  <c r="F39" i="2"/>
  <c r="E39" i="2"/>
  <c r="F38" i="2"/>
  <c r="E38" i="2"/>
  <c r="I37" i="2"/>
  <c r="F35" i="2"/>
  <c r="E35" i="2"/>
  <c r="F34" i="2"/>
  <c r="E34" i="2"/>
  <c r="F33" i="2"/>
  <c r="E33" i="2"/>
  <c r="F32" i="2"/>
  <c r="E32" i="2"/>
  <c r="F31" i="2"/>
  <c r="E31" i="2"/>
  <c r="F30" i="2"/>
  <c r="E30" i="2"/>
  <c r="F29" i="2"/>
  <c r="E29" i="2"/>
  <c r="F28" i="2"/>
  <c r="E28" i="2"/>
  <c r="F27" i="2"/>
  <c r="E27" i="2"/>
  <c r="I26" i="2"/>
  <c r="C21" i="2"/>
  <c r="C20" i="2"/>
  <c r="C19" i="2"/>
  <c r="C18" i="2"/>
  <c r="C14" i="2"/>
  <c r="C13" i="2"/>
  <c r="C12" i="2"/>
  <c r="C11" i="2"/>
  <c r="K6" i="2"/>
  <c r="C6" i="2"/>
  <c r="K5" i="2"/>
  <c r="C5" i="2"/>
  <c r="K4" i="2"/>
  <c r="C4" i="2"/>
  <c r="K3" i="2"/>
  <c r="K2" i="2"/>
  <c r="D21" i="7"/>
  <c r="D48" i="7"/>
  <c r="D25" i="7"/>
  <c r="A190" i="8" l="1"/>
  <c r="D38" i="7"/>
  <c r="D34" i="7"/>
  <c r="D19" i="7"/>
  <c r="D23" i="7"/>
  <c r="F30" i="7"/>
  <c r="E15" i="1" s="1"/>
  <c r="F15" i="1" s="1"/>
  <c r="D44" i="7"/>
  <c r="D50" i="7"/>
  <c r="D27" i="7"/>
  <c r="D30" i="7" s="1"/>
  <c r="G81" i="2"/>
  <c r="E30" i="7"/>
  <c r="D36" i="7"/>
  <c r="D52" i="7"/>
  <c r="D46" i="7"/>
  <c r="D40" i="7"/>
  <c r="D42" i="7"/>
  <c r="E55" i="7"/>
  <c r="F55" i="7"/>
  <c r="E16" i="1" s="1"/>
  <c r="F16" i="1" s="1"/>
  <c r="A188" i="8"/>
  <c r="A208" i="8"/>
  <c r="A207" i="8"/>
  <c r="G59" i="2"/>
  <c r="G48" i="2"/>
  <c r="G37" i="2"/>
  <c r="I137" i="2"/>
  <c r="H81" i="2" s="1"/>
  <c r="K81" i="2" s="1"/>
  <c r="G26" i="2"/>
  <c r="F137" i="2"/>
  <c r="E137" i="2"/>
  <c r="G70" i="2"/>
  <c r="I30" i="7" l="1"/>
  <c r="D15" i="1" s="1"/>
  <c r="D55" i="7"/>
  <c r="I55" i="7"/>
  <c r="D16" i="1" s="1"/>
  <c r="H70" i="2"/>
  <c r="K70" i="2" s="1"/>
  <c r="H59" i="2"/>
  <c r="K59" i="2" s="1"/>
  <c r="H48" i="2"/>
  <c r="K48" i="2" s="1"/>
  <c r="H114" i="2"/>
  <c r="K114" i="2" s="1"/>
  <c r="H37" i="2"/>
  <c r="K37" i="2" s="1"/>
  <c r="H125" i="2"/>
  <c r="K125" i="2" s="1"/>
  <c r="H26" i="2"/>
  <c r="K26" i="2" s="1"/>
  <c r="H92" i="2"/>
  <c r="K92" i="2" s="1"/>
  <c r="H103" i="2"/>
  <c r="K103" i="2" s="1"/>
  <c r="H137" i="2" l="1"/>
  <c r="E14" i="1" l="1"/>
  <c r="F14" i="1" s="1"/>
  <c r="F17" i="1" s="1"/>
  <c r="J137" i="2"/>
  <c r="D14" i="1" s="1"/>
  <c r="F18" i="1" l="1"/>
  <c r="A31" i="1"/>
  <c r="C31" i="1" s="1"/>
  <c r="A30" i="1"/>
  <c r="H154" i="8"/>
  <c r="H152" i="8" l="1"/>
  <c r="H155" i="8"/>
  <c r="C29" i="1"/>
  <c r="C30" i="1"/>
</calcChain>
</file>

<file path=xl/sharedStrings.xml><?xml version="1.0" encoding="utf-8"?>
<sst xmlns="http://schemas.openxmlformats.org/spreadsheetml/2006/main" count="845" uniqueCount="260">
  <si>
    <t>WITS HEALTH CONSORTIUM (PTY) LTD</t>
  </si>
  <si>
    <t>PERFORMANCE REVIEW TOOL</t>
  </si>
  <si>
    <t>SETUP INFORMATION</t>
  </si>
  <si>
    <t>Employee Review Category:</t>
  </si>
  <si>
    <t>Professional / Skilled</t>
  </si>
  <si>
    <t>Select from dropdown list</t>
  </si>
  <si>
    <t>Division/Syndicate:</t>
  </si>
  <si>
    <t>Employee Surname:</t>
  </si>
  <si>
    <t>Employee First Name:</t>
  </si>
  <si>
    <t>Employee Number:</t>
  </si>
  <si>
    <t>Department:</t>
  </si>
  <si>
    <t>Job Title:</t>
  </si>
  <si>
    <t>Date of Employment:</t>
  </si>
  <si>
    <t>Date of Review:</t>
  </si>
  <si>
    <t>Review Type:</t>
  </si>
  <si>
    <t>FINAL</t>
  </si>
  <si>
    <t>Performance Review Period:</t>
  </si>
  <si>
    <t>Measurement Period</t>
  </si>
  <si>
    <t>Date of Last Review:</t>
  </si>
  <si>
    <t>Last Review Weighted Average Score (as adjusted for Line Manager Bias)</t>
  </si>
  <si>
    <t>Line Manager (Principal Reviewer):</t>
  </si>
  <si>
    <t>Line Manager Job Title:</t>
  </si>
  <si>
    <t>Other Reviewers' Names:</t>
  </si>
  <si>
    <t>PRINT LINE</t>
  </si>
  <si>
    <t xml:space="preserve">Review Date: </t>
  </si>
  <si>
    <t>PERFORMANCE REVIEW - KPA REVIEW</t>
  </si>
  <si>
    <t>HIDE</t>
  </si>
  <si>
    <t xml:space="preserve">Surname: </t>
  </si>
  <si>
    <t xml:space="preserve">First Name: </t>
  </si>
  <si>
    <t xml:space="preserve">Employee No.: </t>
  </si>
  <si>
    <t>NOT PRINTED
CARRIED OVER TO PLAN SHEET
CORRECTIVE PLAN</t>
  </si>
  <si>
    <t>Applicable for next period</t>
  </si>
  <si>
    <t>Review Period:</t>
  </si>
  <si>
    <t>KPA IMPORTANCE RATING SCALE</t>
  </si>
  <si>
    <t>NOT FOR PRINTING</t>
  </si>
  <si>
    <t>The importance scale categories are explained as follows:</t>
  </si>
  <si>
    <t>KPA ASSESSMENT RATING SCALE</t>
  </si>
  <si>
    <t>The rating scale categories are explained as follows:</t>
  </si>
  <si>
    <t>PART A - KEY PERFORMANCE AREA REVIEW</t>
  </si>
  <si>
    <t>Print</t>
  </si>
  <si>
    <t>A</t>
  </si>
  <si>
    <t>ENTER KPA IN THIS CELL (and related indicators in the lines provided below)</t>
  </si>
  <si>
    <t>Select KPA Importance</t>
  </si>
  <si>
    <t>YES</t>
  </si>
  <si>
    <t>Select Rating</t>
  </si>
  <si>
    <t>-----</t>
  </si>
  <si>
    <t>NO</t>
  </si>
  <si>
    <t>B</t>
  </si>
  <si>
    <t>C</t>
  </si>
  <si>
    <t>D</t>
  </si>
  <si>
    <t>E</t>
  </si>
  <si>
    <t>F</t>
  </si>
  <si>
    <t>G</t>
  </si>
  <si>
    <t>H</t>
  </si>
  <si>
    <t>I</t>
  </si>
  <si>
    <t>J</t>
  </si>
  <si>
    <t>Outcome Check</t>
  </si>
  <si>
    <t>Individual Score</t>
  </si>
  <si>
    <t>Average Score</t>
  </si>
  <si>
    <t>Weighted Score</t>
  </si>
  <si>
    <t>KPA Factor</t>
  </si>
  <si>
    <t>KEY PERFORMANCE AREA EVALUATION RESULT</t>
  </si>
  <si>
    <t>PERFORMANCE REVIEW - COMPETENCY REVIEW</t>
  </si>
  <si>
    <t>COMPETENCY ASSESSMENT RATING SCALE</t>
  </si>
  <si>
    <t>NOT PRINTED</t>
  </si>
  <si>
    <t>PART B-1: BASELINE COMPETENCIES</t>
  </si>
  <si>
    <t>Total Qty</t>
  </si>
  <si>
    <t>Rated Qty</t>
  </si>
  <si>
    <t>Ave. Score</t>
  </si>
  <si>
    <t>BASELINE COMPETENCY EVALUATION RESULT</t>
  </si>
  <si>
    <t>PART B-2: CATEGORY SPECIFIC COMPETENCIES</t>
  </si>
  <si>
    <t>CATEGORY SPECIFIC COMPETENCY EVALUATION RESULT</t>
  </si>
  <si>
    <t>PERFORMANCE AGREEMENT</t>
  </si>
  <si>
    <t>PART C-1: ONGOING KEY PERFORMANCE AREA PLAN FOR NEXT PERIOD</t>
  </si>
  <si>
    <t>*</t>
  </si>
  <si>
    <t>* = Additional KPA Indicators</t>
  </si>
  <si>
    <t>PART C-2: ADDITIONAL KEY PERFORMANCE AREAS ADDED FOR NEXT PERIOD</t>
  </si>
  <si>
    <t>K</t>
  </si>
  <si>
    <t>L</t>
  </si>
  <si>
    <t>M</t>
  </si>
  <si>
    <t>PART C-3: COMPETENCIES - CORRECTIVE PLAN</t>
  </si>
  <si>
    <t>Baseline</t>
  </si>
  <si>
    <t>Category Specific</t>
  </si>
  <si>
    <t>PART C-4: ADDITIONAL DEVELOPMENT OR TRAINING REQUIRED / REQUESTED</t>
  </si>
  <si>
    <t>Due</t>
  </si>
  <si>
    <t>Responsible</t>
  </si>
  <si>
    <t>Signature</t>
  </si>
  <si>
    <t>PERFORMANCE REVIEW - SUMMARY</t>
  </si>
  <si>
    <t>ADDITIONAL PERSONAL INFORMATION</t>
  </si>
  <si>
    <t>Last Review - Average Weighted Score (as adjusted):</t>
  </si>
  <si>
    <t>SCORE SUMMARY</t>
  </si>
  <si>
    <t>Score</t>
  </si>
  <si>
    <t>Key Performance Areas</t>
  </si>
  <si>
    <t>Competencies: Baseline</t>
  </si>
  <si>
    <t>Competencies: category specific</t>
  </si>
  <si>
    <t>TOTAL WEIGHTED SCORE</t>
  </si>
  <si>
    <t>(On Target = 2.00)</t>
  </si>
  <si>
    <t>The Total Weighted Score will be assessed taking account of scores awarded across the Division / Syndicate and may be adjusted to correct Line Manager bias</t>
  </si>
  <si>
    <t>Review Outcome Explanation:</t>
  </si>
  <si>
    <t>COMMENTS</t>
  </si>
  <si>
    <t>Employee</t>
  </si>
  <si>
    <t>Reviewer</t>
  </si>
  <si>
    <t>LOOKUP DATA</t>
  </si>
  <si>
    <t>Select Employee Review Category</t>
  </si>
  <si>
    <t>Entry Level</t>
  </si>
  <si>
    <t>Operates under Supervision</t>
  </si>
  <si>
    <t>Functions Independently</t>
  </si>
  <si>
    <t>Management / Supervisor</t>
  </si>
  <si>
    <t>Tactical and Directing</t>
  </si>
  <si>
    <t>Executive / Director</t>
  </si>
  <si>
    <t>Strategic and Leadership</t>
  </si>
  <si>
    <t>Performance Appraisal Type</t>
  </si>
  <si>
    <t>Select Appraisal Type</t>
  </si>
  <si>
    <t>INTERIM</t>
  </si>
  <si>
    <t>During Year</t>
  </si>
  <si>
    <t>For full Year</t>
  </si>
  <si>
    <t>Year End Date</t>
  </si>
  <si>
    <t>Select Year End Date</t>
  </si>
  <si>
    <t>KPA Importance</t>
  </si>
  <si>
    <t>Weighting</t>
  </si>
  <si>
    <t>ANCILLARY</t>
  </si>
  <si>
    <t>KPA not necessary for successful achievement of overall objectives but included as it requires the attention of the employee</t>
  </si>
  <si>
    <t>NECESSARY</t>
  </si>
  <si>
    <t>KPA not essential for performance of overall responsibilities on its own but if not given attention complicates the achievement of overall objectives</t>
  </si>
  <si>
    <t>IMPORTANT</t>
  </si>
  <si>
    <t>KPA contributes to the successful achievement of overall objectives</t>
  </si>
  <si>
    <t>CRITICAL</t>
  </si>
  <si>
    <t>KPA is the most important contributor to achievement of overall objectives and requires significant attention by the employee</t>
  </si>
  <si>
    <t>Rating Scale - KPA Outcomes &amp; Competency Performance</t>
  </si>
  <si>
    <t>WEIGHTING</t>
  </si>
  <si>
    <t>Requires Attention</t>
  </si>
  <si>
    <t>Employee performance does not always meet required standards or expectations. Some necessary competencies and knowledge are demonstrated, but employee frequently requires guidance and supervision. Individual may be newly appointed and requires time to develop into the position.</t>
  </si>
  <si>
    <t>Meets Requirement</t>
  </si>
  <si>
    <t>Employee meets requirements and expectations. Requisite job competencies and knowledge are at an acceptable level. Employee performs assigned responsibilities consistently well.</t>
  </si>
  <si>
    <t>Exceeds Requirement</t>
  </si>
  <si>
    <t>Consistently meets and often exceeds all relevant performance standards. Shows initiative and versatility, works collaboratively, shows high degree of skill and knowledge in these areas</t>
  </si>
  <si>
    <t>Strength</t>
  </si>
  <si>
    <t>Performance far exceeds all standards and expectations. Performance consistently results in the best possible attainment and demonstrates an extraordinary level of skill.</t>
  </si>
  <si>
    <t>Final Score</t>
  </si>
  <si>
    <t>SCORE RANGE</t>
  </si>
  <si>
    <t>SCORE COMMENT</t>
  </si>
  <si>
    <t>SCORE EXPLANATION</t>
  </si>
  <si>
    <t>Requires Development</t>
  </si>
  <si>
    <t>The performance rating given to employees who sometimes perform at an acceptable level but are not consistent and need improvement to meet expectations.</t>
  </si>
  <si>
    <t>Meets Expectation</t>
  </si>
  <si>
    <t>The performance rating given to employees who (1) are fully successful in meeting all of the performance expectations that are important to his or her job and (2) have demonstrated satisfactory achievement of the behavioral competencies.</t>
  </si>
  <si>
    <t>Exceeds Expectation</t>
  </si>
  <si>
    <t>The performance rating given to employees who exhibit high overall performance, routinely go beyond what is expected in order to substantially surpass all of their key performance expectations and will have met or exceeded expectations on the Competencies.</t>
  </si>
  <si>
    <t>Additional KPA / Individual Development Plan Trigger Points</t>
  </si>
  <si>
    <t>SCORE</t>
  </si>
  <si>
    <t>ACTION</t>
  </si>
  <si>
    <t>ACTION REASON</t>
  </si>
  <si>
    <t>Individual Development Plan</t>
  </si>
  <si>
    <t>As the performance score is lower than the desired range an Individual Development Plan is to be prepared and agreed, and submitted with this performance review.</t>
  </si>
  <si>
    <t>Additional Key Performance Area</t>
  </si>
  <si>
    <t>As the employee has exceeded almost all expectations an additional Key Performance Area is to be assigned in order to enable the employee to grow and prgress within the organisation.</t>
  </si>
  <si>
    <t>FINAL SCORE WEIGHTING</t>
  </si>
  <si>
    <t>Competencies - Baseline</t>
  </si>
  <si>
    <t>Competencies - Category Specific</t>
  </si>
  <si>
    <t>Yes / No Lookup</t>
  </si>
  <si>
    <t>Active Lookup</t>
  </si>
  <si>
    <t>PERFORMANCE REVIEW - COMPETENCY LOOKUP</t>
  </si>
  <si>
    <t xml:space="preserve">Reliability: </t>
  </si>
  <si>
    <t>Achievement:</t>
  </si>
  <si>
    <t>Demonstrates a high level of dependability in all aspects of the job; completes all assigned tasks on time and with minimal supervision; behaves consistently and predictably; diligently follows through on commitments and consistently meets deadlines; demonstrates regular and punctual attendance at work; rarely is late for meetings or appointments; informs appropriate individuals when assigned tasks will not be completed in agreed time frame.</t>
  </si>
  <si>
    <t>Wants to do a good job and does not give up; clarifies what is expected; is positive and enthusiastic about the job; respects the rights of others whilst achieving one's own goals</t>
  </si>
  <si>
    <t>Works to goals and manages obstacles; understands and works toward goals set by others; measures progress against targets; seeks to understand reasons for obstacles and to find ways to overcome; acknowledges the work and contribution of others.</t>
  </si>
  <si>
    <t>Drives for improvement despite frequent obstacles; tackles difficult problems and takes personal responsibility for reaching solutions; seeks ways to improve overall performance levels to give higher levels of satisfaction to target groups.</t>
  </si>
  <si>
    <t>Sets and meets challenging goals and seeks long-term improvement; achieves significant progress in the long-term, wider performance of the organisation; sets out to be the best - has own measures of excellence and works to these; acts entrepreneurially to make performance gains.</t>
  </si>
  <si>
    <t>Integrity:</t>
  </si>
  <si>
    <t>Analytical Thinking:</t>
  </si>
  <si>
    <t xml:space="preserve">Acts consistently in an honest and trustworthy manner based on personal accountability and a moral conviction to do the right thing; does not violate or compromise the confidentiality of information; is able to recognise actions and situations which are in conflict with organisational ethics and values; promises only what can reasonably be delivered; appropriately and consistently complies with the organisations policies and procedures. </t>
  </si>
  <si>
    <t>Breaks down issues into component parts; lists items, tasks or activities without necessarily setting priorities.</t>
  </si>
  <si>
    <t xml:space="preserve">Sees key issues; looks at data and identifies key issues; identifies cause and effect by using "if A … the B" thinking, and using this to prioritise issues. </t>
  </si>
  <si>
    <t>Tests all angles; looks objectively at every side of an idea or situation to ensure that all outcomes are thoroughly assessed before deciding on the appropriate course of action; analyses complex situations by looking at multiple causes and effects; compares data, information, and input from a variety of sources to draw conclusions; takes action that is consistent with available facts, constraints and probable consequences.</t>
  </si>
  <si>
    <t>Undertakes complex analysis and traces performance implications through complex data when dealing with complex situations; applies analytical tools or techniques to analyse a range of data.</t>
  </si>
  <si>
    <t>Accountability:</t>
  </si>
  <si>
    <t xml:space="preserve">Adaptability &amp; Flexibility: </t>
  </si>
  <si>
    <t>Demonstrates an understanding of the link between one's own job responsibilities and the overall organisational goals and objectives, and undertakes one's job with the broader goals in mind; takes responsibility for own work activities and personal actions; takes personal ownership in the organisations success; acknowledges and learns from mistakes without blaming others and recognises the impact of one's behaviour on others.</t>
  </si>
  <si>
    <t>Accepts need for flexibility; demonstrates willingness to change ideas or perceptions based on new information or contrary evidence; is open to new ideas and listens to other people's point of view</t>
  </si>
  <si>
    <t>Applies rules or procedures flexibly, depending on the individual situation, to accomplish tasks and activities more effectively; responds effectively to changing circumstances; remains focused when faced with competing demands; makes reasonable adjustments to ensure maximum effectiveness and motivation of self and others.</t>
  </si>
  <si>
    <t>Adapts tactics and approach; identifies a pragmatic approach in order to get job done quickly and effectively; uses an awareness of the bigger picture along with common sense to interpret and implement policy; is comfortable with ambiguity.</t>
  </si>
  <si>
    <t>Makes organisational change; changes the overall plan, goal or project to fit the situation; creates and supports flexibility by introducing procedures which ensure quick turnaround; encourage flexibility in others.</t>
  </si>
  <si>
    <t>Diversity:</t>
  </si>
  <si>
    <t xml:space="preserve">Initiative: </t>
  </si>
  <si>
    <t>Demonstrates respect for all differences (i.e. race, gender, ethnic background, customs, beliefs, disabilities, sexual orientation, age, career levels, financial status, style and opinions); refrains from behaviour or language that is exclusionary or offensive in nature; treats all people fairly and consistently; effectively works with people from diverse backgrounds by treating them with dignity and respect.</t>
  </si>
  <si>
    <t>Improves and acts now; does things before being asked or before the situation necessitates action (i.e. forced by events); does more than is minimally required by the assignment, task or job description.</t>
  </si>
  <si>
    <t>Acts and looks ahead, and adapts existing approach in response; identifies what needs to be done and takes action to achieve standards of excellence beyond job expectations; does things that no one has requested that will improve or enhance products and services or avoid problems;  Plans ahead for upcoming problems or opportunities and takes appropriate action.</t>
  </si>
  <si>
    <t>Anticipates the future and develops new approaches, products or services in response; identifies opportunities and problems in the short- to medium-term (up to 18 months), and develops new approaches, products and services based on these, responds positively to new ideas and technologies; willingly considers major process changes where significant benefit is demonstrated of such change.</t>
  </si>
  <si>
    <t>Creates opportunities and acts for the long-term; sees and acts on long-term (beyond 18 months) opportunities and problems, formulates new and novel ideas and concepts which create potential opportunities - and employ innovative approaches to allow them to be realised; develop solutions to address underlying needs that have not been identified yet by the target market; encourages the organisation to be innovative and constantly challenge the status quo.</t>
  </si>
  <si>
    <t>Self Awareness:</t>
  </si>
  <si>
    <t>Holding People Accountable:</t>
  </si>
  <si>
    <t>Thinks carefully about the likely effect on others of one's words, actions, appearance and mode of behaviour; maintains stable performance and emotional control when faced with opposition, pressure, hostility from others and/or stressful conditions; demonstrates appropriate behaviour at all times; earns the respect of others; stays calm in the face of another's anger or lack of control, or when faced with complaints.</t>
  </si>
  <si>
    <t>Sets boundaries; accepts accountability for own actions and performance; sets limits for other peoples behaviour; does not tolerate inappropriate behaviour in others.</t>
  </si>
  <si>
    <t>Demands high performance or results from others by setting the example; monitors performance against clear standards or deadlines, providing clear feedback when required; helps others to start again when setbacks occur.</t>
  </si>
  <si>
    <t>Holds people accountable for their actions and performance; allocating decision-making authority and/or tasks responsibility to individuals to maximise the organisation's and individuals' effectiveness; challenges individuals openly and constructively about performance problems, adopting a firm but fair stance; allows others to take credit when deserved.</t>
  </si>
  <si>
    <t>Addresses longer term performance problems, removing poor performers from positions when necessary; clearly informs people of the consequence of poor performance; provides guidance and support as well as challenge and constructive criticism.</t>
  </si>
  <si>
    <t>Leading and Developing Others:</t>
  </si>
  <si>
    <t>Leads from within team; sets a strong example to colleagues and the team through one's own behaviour; is a role model.</t>
  </si>
  <si>
    <t>Supports team development; sets a strong example to colleagues and the team through one's own behaviour; is a role model.</t>
  </si>
  <si>
    <t>Is a role model for leadership; provides others with a clear direction, motivates and empowers others, recruits staff of a high calibre: provides staff with development opportunities and coaching; sets appropriate standards of behaviour; able to facilitate resolution when conflict occurs; gives timely and specific feedback on what has been done well and where there is room for improvement; helps individuals think through issues for themselves.</t>
  </si>
  <si>
    <t>Gains commitment and inspires others to achieve; communicates and gains team / organisation commitment to a vision of what is to be achieved; delegates fully and creates opportunities which help others to develop their potential; identifies inequalities of opportunity within the workplace and takes steps to address them; inspires and empowers others to overcome difficulties and achieve goals.</t>
  </si>
  <si>
    <t>Professional Confidence:</t>
  </si>
  <si>
    <t>Confident in own role; presents him / herself in a confident manner and works without needing supervision; is able to say 'no' in the face of unreasonable demands.</t>
  </si>
  <si>
    <t>Acts independently; provides an opinion from his / her own area of expertise; makes decisions without deferring unnecessarily to others; is decisive when the situation demands; has the confidence to admit when they do not know or cannot commit to an immediate view without more research.</t>
  </si>
  <si>
    <t>Presents confidently; clearly conveys information and ideas via a variety of media to individuals or groups in a manner that engages the listener, helps them understand and retain the message, and invites response and feedback; confident in his / her own ability and is prepared to stand by difficult and unpopular decisions; looks for and gets new responsibilities; praises the work of others; does not advance own career by tarnishing the reputation of others.</t>
  </si>
  <si>
    <t>Prepared to challenge and take risks; speaks out for a course of action even where others disagree; takes significant personal or professional risks to accomplish important goals; challenges others with respect, considers the ideas and opinions of others but accepts responsibility for the final decision without excuse.</t>
  </si>
  <si>
    <t>Relationship Building for Influence:</t>
  </si>
  <si>
    <t>Persuades; actively gets to know others who bring a different perspective; uses informed rational arguments to influence others; is an active listener who is curious and interested in what is being said; builds on common interests.</t>
  </si>
  <si>
    <t>Builds rapport and takes steps to persuade; identifies key influencers and decision makers; builds positive and reciprocal relations which benefit the organisation; tailors his / her approach to appeal to the need of a particular audience; uses informed rational arguments to influence others; is and active listener who is curious and interested in what is being said.</t>
  </si>
  <si>
    <t>Maintains networks and plans impact; maintains and develops a range of contacts and keeps them informed; plans an approach to have a specific impact, including taking bold, creative or unusual actions to make a point or get through to others; makes personal commitments in order to build trust and credibility.</t>
  </si>
  <si>
    <t>Extends networks and uses indirect influence; identifies and builds relationships with those who will be useful now and in the future in achieving the organisations strategic objectives; actively 'lobbies' and wins support behind the scenes; assembles and sustains coalitions to get support an influence others; uses appropriate influencing techniques.</t>
  </si>
  <si>
    <t>Teamworking:</t>
  </si>
  <si>
    <t>Works cooperatively; willingly cooperates; is not afraid to seek advice from others; puts in extra effort when needed to help others; recognises that the ways of getting things done in differ across the organisation.</t>
  </si>
  <si>
    <t>Involves others; actively includes individuals from diverse backgrounds in team activities; capitalises on diverse skills and ideas; spends time helping others think through issues; speaks positively of others; works cooperatively with other team members, involves others, shares information as appropriate and shares credit for team accomplishments.</t>
  </si>
  <si>
    <t>Builds the team; proactively shares information and learning with colleagues; addresses conflicts or issues within the team in a positive and open manner; provides clear feedback to team members; uses understanding of different interests and agendas to achieve positive outcomes; uses emotional intelligence to understand team dynamics and harmonise and synergise the energies of the team.</t>
  </si>
  <si>
    <t>Creates team working; creates new opportunities for individuals to work together; breaking down barriers that may get in the way of effective teamworking - challenges others to do the same; is a model of cooperative behaviour; commits time and resources to team based projects.</t>
  </si>
  <si>
    <t>Working Strategically:</t>
  </si>
  <si>
    <t>Understands current situation and fits in; understands the way things are done within the organisation and works to agreed standards; shows commitment to the long-term goals.</t>
  </si>
  <si>
    <t>Links current action to strategy; understands the link between own work and the strategic objectives; uses own knowledge or experience of past situations, adapts and applies this to current issues; supports organisation objectives even when disadvantageous to own department or sphere.</t>
  </si>
  <si>
    <t>Focuses on the longer term; constantly reviews own and departmental objectives to ensure they support the organisations long-term strategic objectives, and makes changes or challenges if they do not; makes complex ideas, issues and situations clear and understandable, and can relate these to the wider context of the organisation; includes diversity issues in the strategic planning.</t>
  </si>
  <si>
    <t>Promotes a longer term strategy; works strategically to realise organisation goals; sets and develops strategies; identifies and develops positive compelling visions of the organisation's future potential, taking account of a wide range of issues across and related to the organisation.; reinvents accepted thinking using intuition together with complex analysis to create new concepts or approaches not obvious to others.</t>
  </si>
  <si>
    <t>Wits RHI</t>
  </si>
  <si>
    <t>Parker</t>
  </si>
  <si>
    <t>Craig</t>
  </si>
  <si>
    <t>Climate and Health</t>
  </si>
  <si>
    <t>Data Scientist</t>
  </si>
  <si>
    <t>Gloria Maimela</t>
  </si>
  <si>
    <t>Director</t>
  </si>
  <si>
    <t>NA</t>
  </si>
  <si>
    <t>Manage/coordinate Climate and Health project data acquisition from Wits RHI perspective</t>
  </si>
  <si>
    <t xml:space="preserve">In conjunction with the Scientific Lead and Hub programme manager, acquire data on health outcomes, and environmental exposures across Africa and prepare data for analysis. </t>
  </si>
  <si>
    <t>Work with Heat Center and other relevant partners partners to process and clean the data</t>
  </si>
  <si>
    <t>·        Work with WHC/Wits RHI IT to create processes to integrate and store data</t>
  </si>
  <si>
    <t>·        Facilitate and collaborate on initial data investigation and exploratory data analysis</t>
  </si>
  <si>
    <t>·        Apply potential models and algorithms as to achieve aims of the research.</t>
  </si>
  <si>
    <t xml:space="preserve">·        Apply data science techniques, such as machine learning, statistical modeling, and artificial intelligence to health and climate data in line with aims of project. </t>
  </si>
  <si>
    <t xml:space="preserve">Data Science Management    </t>
  </si>
  <si>
    <t xml:space="preserve">Support process flows to guide project implementation (Ethics/ Data Transfer agreements/ Budgets/Procurement/IT/HR) </t>
  </si>
  <si>
    <t xml:space="preserve">Facilitate workshops on new grant proposals, project implementation strategies and ways of working. </t>
  </si>
  <si>
    <t>Conduct improvement/alignment workshops with other partners to streamline research outputs.</t>
  </si>
  <si>
    <t>Process Optimization</t>
  </si>
  <si>
    <t xml:space="preserve">Maintain strategic partnerships and participation in appropriate activities with a range of national and international Climate and Health stakeholders including donors, Wits University and other academic institutions, government, NGOs and advocacy groups, </t>
  </si>
  <si>
    <t>Contribute to the leadership of relevant national structures and profiling of the unit through appropriate engagement with media, academic, conference and other mediums.</t>
  </si>
  <si>
    <t>Work with key academic thought leaders at Wits and other local and international universities on climate change to advance climate change research and advocacy.</t>
  </si>
  <si>
    <t>Advise national, regional and international counterparts on technical issues and participate in relevant technical advisory groups with counterparts and partner institutions</t>
  </si>
  <si>
    <t>Stakeholder Management</t>
  </si>
  <si>
    <t xml:space="preserve">Maintain a scientific/academic focus within the programme that aligns with the Climate and Health strategies. </t>
  </si>
  <si>
    <t xml:space="preserve">Contribute to the writing of research protocols. </t>
  </si>
  <si>
    <t>Develop and design research tools and Standard Operating Procedures.</t>
  </si>
  <si>
    <t>Comply with internal and external research policies and SOPs</t>
  </si>
  <si>
    <t>Participate in data science analyses for research projects</t>
  </si>
  <si>
    <t>Stay abreast with relevant research findings and collaborate closely with other investigators on related studies. Publish scientific publications.</t>
  </si>
  <si>
    <t xml:space="preserve">Disseminate research findings to a broader audience through blogging, advocacy forums etc </t>
  </si>
  <si>
    <t>Research design, implementation, and dissemination</t>
  </si>
  <si>
    <t>B0158</t>
  </si>
  <si>
    <t>2.07</t>
  </si>
  <si>
    <t>Provide support to the C&amp;H team in project planning and implementation, including tracking and visual management tools to keep partners on track.</t>
  </si>
  <si>
    <t>This past year has been exceptionally rewarding and challenging, and I am grateful for the opportunities I've had to grow and contribute significantly in my role. Presenting posters at international conferences and speaking at the IBM 'What Next' conference were standout experiences, showcasing our team's dedication and expertise in the field. The small wins in data acquisition for RP2 and our engagement with various stakeholders have been pivotal in advancing our research objectives.
Submitting the RP2 paper as the first author was a milestone for me, and the ongoing work on vulnerability mapping with IBM has been an enriching learning experience. I am particularly thankful for the opportunity to expand my knowledge in machine learning, both through the DS-I training Hub course and additional learning on Coursera.
I would like to extend my sincerest gratitude to Gloria for her exceptional management style during this period. Her leadership has been a guiding light in these challenging times, blending support with autonomy perfectly. Gloria's approach has not only allowed me to maintain a high standard of work but also to balance my professional responsibilities with family commitments effectively. Her understanding and flexibility have been invaluable, and her leadership skills are highly commendable.
As I reflect on the past year and look forward to the next, I am excited about the potential for further growth and contributions to our team and the wider field. Thank you for the support and opportunities provided, and I eagerly anticipate continuing this journey of learning and development</t>
  </si>
  <si>
    <t>Craig is a great asset to the team. He is innovative and takes leadership in leading projects he is involved in. He also greatly supports team building within the Directorate. His growth has been visible and his confidence within and outside the organization is increasing. Well done Craig and please keep up the good 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</si>
</sst>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_);_(* \(#,##0\);_(* &quot;-&quot;_);_(@_)"/>
    <numFmt numFmtId="165" formatCode="_(* #,##0.00_);_(* \(#,##0.00\);_(* &quot;-&quot;??_);_(@_)"/>
    <numFmt numFmtId="166" formatCode="mmm/yyyy"/>
    <numFmt numFmtId="167" formatCode="dd/mmm/yyyy"/>
  </numFmts>
  <fonts count="56" x14ac:knownFonts="1">
    <font>
      <sz val="11"/>
      <color theme="1"/>
      <name val="Calibri"/>
      <family val="2"/>
      <scheme val="minor"/>
    </font>
    <font>
      <sz val="11"/>
      <color theme="1"/>
      <name val="Calibri"/>
      <family val="2"/>
      <scheme val="minor"/>
    </font>
    <font>
      <b/>
      <sz val="12"/>
      <name val="Calibri Light"/>
      <family val="2"/>
      <scheme val="major"/>
    </font>
    <font>
      <sz val="10"/>
      <name val="Calibri Light"/>
      <family val="2"/>
      <scheme val="major"/>
    </font>
    <font>
      <i/>
      <sz val="10"/>
      <name val="Calibri Light"/>
      <family val="2"/>
      <scheme val="major"/>
    </font>
    <font>
      <sz val="11"/>
      <color theme="1"/>
      <name val="Calibri Light"/>
      <family val="2"/>
      <scheme val="major"/>
    </font>
    <font>
      <b/>
      <sz val="10"/>
      <name val="Calibri Light"/>
      <family val="2"/>
      <scheme val="major"/>
    </font>
    <font>
      <b/>
      <sz val="10"/>
      <color rgb="FFFF0000"/>
      <name val="Calibri Light"/>
      <family val="2"/>
      <scheme val="major"/>
    </font>
    <font>
      <sz val="10"/>
      <color rgb="FFFF0000"/>
      <name val="Calibri Light"/>
      <family val="2"/>
      <scheme val="major"/>
    </font>
    <font>
      <b/>
      <sz val="10"/>
      <color theme="1"/>
      <name val="Calibri Light"/>
      <family val="2"/>
      <scheme val="major"/>
    </font>
    <font>
      <sz val="10"/>
      <color theme="1"/>
      <name val="Calibri Light"/>
      <family val="2"/>
      <scheme val="major"/>
    </font>
    <font>
      <sz val="9"/>
      <name val="Calibri Light"/>
      <family val="2"/>
      <scheme val="major"/>
    </font>
    <font>
      <sz val="8"/>
      <name val="Calibri Light"/>
      <family val="2"/>
      <scheme val="major"/>
    </font>
    <font>
      <sz val="12"/>
      <name val="Calibri Light"/>
      <family val="2"/>
      <scheme val="major"/>
    </font>
    <font>
      <b/>
      <sz val="16"/>
      <color rgb="FFFF0000"/>
      <name val="Calibri Light"/>
      <family val="2"/>
      <scheme val="major"/>
    </font>
    <font>
      <i/>
      <sz val="12"/>
      <name val="Calibri Light"/>
      <family val="2"/>
      <scheme val="major"/>
    </font>
    <font>
      <b/>
      <sz val="14"/>
      <name val="Calibri Light"/>
      <family val="2"/>
      <scheme val="major"/>
    </font>
    <font>
      <b/>
      <sz val="12"/>
      <color theme="6" tint="-0.499984740745262"/>
      <name val="Calibri Light"/>
      <family val="2"/>
      <scheme val="major"/>
    </font>
    <font>
      <sz val="12"/>
      <color theme="1"/>
      <name val="Calibri Light"/>
      <family val="2"/>
      <scheme val="major"/>
    </font>
    <font>
      <b/>
      <sz val="12"/>
      <color theme="1"/>
      <name val="Calibri Light"/>
      <family val="2"/>
      <scheme val="major"/>
    </font>
    <font>
      <b/>
      <sz val="11"/>
      <name val="Calibri Light"/>
      <family val="2"/>
      <scheme val="major"/>
    </font>
    <font>
      <sz val="11"/>
      <name val="Calibri Light"/>
      <family val="2"/>
      <scheme val="major"/>
    </font>
    <font>
      <b/>
      <i/>
      <sz val="8"/>
      <name val="Calibri Light"/>
      <family val="2"/>
      <scheme val="major"/>
    </font>
    <font>
      <b/>
      <sz val="9"/>
      <name val="Calibri Light"/>
      <family val="2"/>
      <scheme val="major"/>
    </font>
    <font>
      <sz val="12"/>
      <color theme="4" tint="-0.249977111117893"/>
      <name val="Calibri Light"/>
      <family val="2"/>
      <scheme val="major"/>
    </font>
    <font>
      <i/>
      <sz val="9"/>
      <name val="Calibri Light"/>
      <family val="2"/>
      <scheme val="major"/>
    </font>
    <font>
      <sz val="9"/>
      <color theme="1"/>
      <name val="Calibri Light"/>
      <family val="2"/>
      <scheme val="major"/>
    </font>
    <font>
      <sz val="8"/>
      <color theme="1"/>
      <name val="Calibri Light"/>
      <family val="2"/>
      <scheme val="major"/>
    </font>
    <font>
      <b/>
      <sz val="9"/>
      <color theme="1"/>
      <name val="Calibri Light"/>
      <family val="2"/>
      <scheme val="major"/>
    </font>
    <font>
      <i/>
      <sz val="8"/>
      <color theme="1"/>
      <name val="Calibri Light"/>
      <family val="2"/>
      <scheme val="major"/>
    </font>
    <font>
      <sz val="7"/>
      <color theme="1"/>
      <name val="Calibri Light"/>
      <family val="2"/>
      <scheme val="major"/>
    </font>
    <font>
      <b/>
      <u/>
      <sz val="14"/>
      <name val="Calibri Light"/>
      <family val="2"/>
      <scheme val="major"/>
    </font>
    <font>
      <b/>
      <u/>
      <sz val="16"/>
      <name val="Calibri Light"/>
      <family val="2"/>
      <scheme val="major"/>
    </font>
    <font>
      <b/>
      <i/>
      <sz val="11"/>
      <name val="Calibri Light"/>
      <family val="2"/>
      <scheme val="major"/>
    </font>
    <font>
      <sz val="9"/>
      <color rgb="FF000000"/>
      <name val="Calibri Light"/>
      <family val="2"/>
      <scheme val="major"/>
    </font>
    <font>
      <sz val="10"/>
      <color rgb="FF333333"/>
      <name val="Calibri Light"/>
      <family val="2"/>
      <scheme val="major"/>
    </font>
    <font>
      <b/>
      <sz val="8"/>
      <name val="Calibri Light"/>
      <family val="2"/>
      <scheme val="major"/>
    </font>
    <font>
      <b/>
      <sz val="8"/>
      <color theme="4" tint="-0.249977111117893"/>
      <name val="Calibri Light"/>
      <family val="2"/>
      <scheme val="major"/>
    </font>
    <font>
      <u/>
      <sz val="8"/>
      <color theme="4" tint="-0.249977111117893"/>
      <name val="Calibri Light"/>
      <family val="2"/>
      <scheme val="major"/>
    </font>
    <font>
      <b/>
      <sz val="10"/>
      <color theme="4" tint="-0.249977111117893"/>
      <name val="Calibri Light"/>
      <family val="2"/>
      <scheme val="major"/>
    </font>
    <font>
      <sz val="10"/>
      <color theme="4" tint="-0.249977111117893"/>
      <name val="Calibri Light"/>
      <family val="2"/>
      <scheme val="major"/>
    </font>
    <font>
      <b/>
      <sz val="10"/>
      <color theme="4" tint="-0.499984740745262"/>
      <name val="Calibri Light"/>
      <family val="2"/>
      <scheme val="major"/>
    </font>
    <font>
      <sz val="10"/>
      <color theme="4" tint="-0.499984740745262"/>
      <name val="Calibri Light"/>
      <family val="2"/>
      <scheme val="major"/>
    </font>
    <font>
      <b/>
      <i/>
      <sz val="10"/>
      <color theme="4" tint="-0.499984740745262"/>
      <name val="Calibri Light"/>
      <family val="2"/>
      <scheme val="major"/>
    </font>
    <font>
      <b/>
      <sz val="9"/>
      <color theme="4" tint="-0.499984740745262"/>
      <name val="Calibri Light"/>
      <family val="2"/>
      <scheme val="major"/>
    </font>
    <font>
      <sz val="8"/>
      <color theme="4" tint="-0.499984740745262"/>
      <name val="Calibri Light"/>
      <family val="2"/>
      <scheme val="major"/>
    </font>
    <font>
      <b/>
      <sz val="12"/>
      <color theme="4" tint="-0.249977111117893"/>
      <name val="Calibri Light"/>
      <family val="2"/>
      <scheme val="major"/>
    </font>
    <font>
      <i/>
      <sz val="10"/>
      <color theme="4" tint="-0.249977111117893"/>
      <name val="Calibri Light"/>
      <family val="2"/>
      <scheme val="major"/>
    </font>
    <font>
      <b/>
      <sz val="12"/>
      <color theme="9" tint="-0.499984740745262"/>
      <name val="Calibri Light"/>
      <family val="2"/>
      <scheme val="major"/>
    </font>
    <font>
      <sz val="8"/>
      <color theme="4" tint="-0.249977111117893"/>
      <name val="Calibri Light"/>
      <family val="2"/>
      <scheme val="major"/>
    </font>
    <font>
      <b/>
      <sz val="9"/>
      <color theme="4" tint="-0.249977111117893"/>
      <name val="Calibri Light"/>
      <family val="2"/>
      <scheme val="major"/>
    </font>
    <font>
      <b/>
      <sz val="7"/>
      <color theme="4" tint="-0.249977111117893"/>
      <name val="Calibri Light"/>
      <family val="2"/>
      <scheme val="major"/>
    </font>
    <font>
      <b/>
      <sz val="11"/>
      <color theme="4" tint="-0.249977111117893"/>
      <name val="Calibri Light"/>
      <family val="2"/>
      <scheme val="major"/>
    </font>
    <font>
      <sz val="7"/>
      <color theme="4" tint="-0.24994659260841701"/>
      <name val="Calibri Light"/>
      <family val="2"/>
      <scheme val="major"/>
    </font>
    <font>
      <i/>
      <sz val="8"/>
      <name val="Calibri Light"/>
      <family val="2"/>
      <scheme val="major"/>
    </font>
    <font>
      <sz val="10"/>
      <color rgb="FF000000"/>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9" tint="0.79998168889431442"/>
        <bgColor indexed="64"/>
      </patternFill>
    </fill>
    <fill>
      <patternFill patternType="solid">
        <fgColor theme="5"/>
        <bgColor indexed="64"/>
      </patternFill>
    </fill>
    <fill>
      <patternFill patternType="solid">
        <fgColor rgb="FFFFFFCC"/>
        <bgColor indexed="64"/>
      </patternFill>
    </fill>
    <fill>
      <patternFill patternType="solid">
        <fgColor rgb="FFD9D9D9"/>
        <bgColor rgb="FFD9D9D9"/>
      </patternFill>
    </fill>
  </fills>
  <borders count="52">
    <border>
      <left/>
      <right/>
      <top/>
      <bottom/>
      <diagonal/>
    </border>
    <border>
      <left/>
      <right/>
      <top style="thick">
        <color theme="4" tint="-0.24994659260841701"/>
      </top>
      <bottom style="thick">
        <color theme="4" tint="-0.24994659260841701"/>
      </bottom>
      <diagonal/>
    </border>
    <border>
      <left/>
      <right/>
      <top/>
      <bottom style="thin">
        <color theme="4" tint="-0.24994659260841701"/>
      </bottom>
      <diagonal/>
    </border>
    <border>
      <left/>
      <right/>
      <top style="thick">
        <color theme="4" tint="-0.24994659260841701"/>
      </top>
      <bottom style="thin">
        <color theme="4" tint="-0.24994659260841701"/>
      </bottom>
      <diagonal/>
    </border>
    <border>
      <left/>
      <right/>
      <top/>
      <bottom style="thick">
        <color theme="4" tint="-0.24994659260841701"/>
      </bottom>
      <diagonal/>
    </border>
    <border>
      <left style="thick">
        <color theme="4" tint="-0.24994659260841701"/>
      </left>
      <right style="thick">
        <color theme="4" tint="-0.24994659260841701"/>
      </right>
      <top style="thick">
        <color theme="4" tint="-0.24994659260841701"/>
      </top>
      <bottom style="thick">
        <color theme="4" tint="-0.24994659260841701"/>
      </bottom>
      <diagonal/>
    </border>
    <border>
      <left style="thick">
        <color theme="4" tint="-0.24994659260841701"/>
      </left>
      <right/>
      <top style="thick">
        <color theme="4" tint="-0.24994659260841701"/>
      </top>
      <bottom style="thick">
        <color theme="4" tint="-0.24994659260841701"/>
      </bottom>
      <diagonal/>
    </border>
    <border>
      <left/>
      <right style="thick">
        <color theme="4" tint="-0.24994659260841701"/>
      </right>
      <top style="thick">
        <color theme="4" tint="-0.24994659260841701"/>
      </top>
      <bottom style="thick">
        <color theme="4" tint="-0.24994659260841701"/>
      </bottom>
      <diagonal/>
    </border>
    <border>
      <left style="thick">
        <color theme="4" tint="-0.499984740745262"/>
      </left>
      <right style="thick">
        <color theme="4" tint="-0.499984740745262"/>
      </right>
      <top style="thick">
        <color theme="4" tint="-0.499984740745262"/>
      </top>
      <bottom/>
      <diagonal/>
    </border>
    <border>
      <left style="thin">
        <color theme="4" tint="-0.24994659260841701"/>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right/>
      <top style="thick">
        <color theme="4" tint="-0.24994659260841701"/>
      </top>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thin">
        <color rgb="FFFF0000"/>
      </left>
      <right style="thin">
        <color rgb="FFFF0000"/>
      </right>
      <top style="thin">
        <color rgb="FFFF0000"/>
      </top>
      <bottom style="thin">
        <color rgb="FFFF0000"/>
      </bottom>
      <diagonal/>
    </border>
    <border>
      <left/>
      <right/>
      <top style="thin">
        <color theme="4" tint="-0.24994659260841701"/>
      </top>
      <bottom style="thin">
        <color theme="4" tint="-0.24994659260841701"/>
      </bottom>
      <diagonal/>
    </border>
    <border>
      <left style="thick">
        <color theme="4" tint="-0.24994659260841701"/>
      </left>
      <right/>
      <top style="thick">
        <color theme="4" tint="-0.24994659260841701"/>
      </top>
      <bottom/>
      <diagonal/>
    </border>
    <border>
      <left/>
      <right style="thick">
        <color theme="4" tint="-0.24994659260841701"/>
      </right>
      <top style="thick">
        <color theme="4" tint="-0.24994659260841701"/>
      </top>
      <bottom/>
      <diagonal/>
    </border>
    <border>
      <left style="thick">
        <color theme="4" tint="-0.24994659260841701"/>
      </left>
      <right/>
      <top/>
      <bottom/>
      <diagonal/>
    </border>
    <border>
      <left/>
      <right style="thick">
        <color theme="4" tint="-0.24994659260841701"/>
      </right>
      <top/>
      <bottom/>
      <diagonal/>
    </border>
    <border>
      <left style="thick">
        <color theme="4" tint="-0.24994659260841701"/>
      </left>
      <right/>
      <top/>
      <bottom style="thick">
        <color theme="4" tint="-0.24994659260841701"/>
      </bottom>
      <diagonal/>
    </border>
    <border>
      <left/>
      <right style="thick">
        <color theme="4" tint="-0.24994659260841701"/>
      </right>
      <top/>
      <bottom style="thick">
        <color theme="4" tint="-0.24994659260841701"/>
      </bottom>
      <diagonal/>
    </border>
    <border>
      <left style="thick">
        <color theme="4" tint="-0.24994659260841701"/>
      </left>
      <right/>
      <top style="thin">
        <color theme="4" tint="-0.24994659260841701"/>
      </top>
      <bottom style="thin">
        <color theme="4" tint="-0.24994659260841701"/>
      </bottom>
      <diagonal/>
    </border>
    <border>
      <left/>
      <right style="thick">
        <color theme="4" tint="-0.24994659260841701"/>
      </right>
      <top style="thin">
        <color theme="4" tint="-0.24994659260841701"/>
      </top>
      <bottom style="thin">
        <color theme="4" tint="-0.24994659260841701"/>
      </bottom>
      <diagonal/>
    </border>
    <border>
      <left style="thick">
        <color theme="4" tint="-0.24994659260841701"/>
      </left>
      <right/>
      <top style="thin">
        <color theme="4" tint="-0.24994659260841701"/>
      </top>
      <bottom style="thick">
        <color theme="4" tint="-0.24994659260841701"/>
      </bottom>
      <diagonal/>
    </border>
    <border>
      <left/>
      <right/>
      <top style="thin">
        <color theme="4" tint="-0.24994659260841701"/>
      </top>
      <bottom style="thick">
        <color theme="4" tint="-0.24994659260841701"/>
      </bottom>
      <diagonal/>
    </border>
    <border>
      <left/>
      <right style="thick">
        <color theme="4" tint="-0.24994659260841701"/>
      </right>
      <top style="thin">
        <color theme="4" tint="-0.24994659260841701"/>
      </top>
      <bottom style="thick">
        <color theme="4" tint="-0.24994659260841701"/>
      </bottom>
      <diagonal/>
    </border>
    <border>
      <left style="thick">
        <color theme="4" tint="-0.24994659260841701"/>
      </left>
      <right/>
      <top/>
      <bottom style="thin">
        <color theme="4" tint="-0.24994659260841701"/>
      </bottom>
      <diagonal/>
    </border>
    <border>
      <left/>
      <right style="thick">
        <color theme="4" tint="-0.24994659260841701"/>
      </right>
      <top/>
      <bottom style="thin">
        <color theme="4" tint="-0.24994659260841701"/>
      </bottom>
      <diagonal/>
    </border>
    <border>
      <left style="thick">
        <color theme="4" tint="-0.24994659260841701"/>
      </left>
      <right style="thin">
        <color theme="4" tint="-0.24994659260841701"/>
      </right>
      <top style="thin">
        <color theme="4" tint="-0.24994659260841701"/>
      </top>
      <bottom style="thin">
        <color theme="4" tint="-0.24994659260841701"/>
      </bottom>
      <diagonal/>
    </border>
    <border>
      <left style="thin">
        <color theme="4" tint="-0.24994659260841701"/>
      </left>
      <right/>
      <top style="thick">
        <color theme="4" tint="-0.24994659260841701"/>
      </top>
      <bottom style="thin">
        <color theme="4" tint="-0.24994659260841701"/>
      </bottom>
      <diagonal/>
    </border>
    <border>
      <left/>
      <right/>
      <top style="thin">
        <color theme="4" tint="-0.24994659260841701"/>
      </top>
      <bottom/>
      <diagonal/>
    </border>
    <border>
      <left/>
      <right/>
      <top/>
      <bottom style="medium">
        <color theme="4" tint="-0.24994659260841701"/>
      </bottom>
      <diagonal/>
    </border>
    <border>
      <left style="thin">
        <color theme="4" tint="-0.24994659260841701"/>
      </left>
      <right style="thin">
        <color theme="4" tint="-0.24994659260841701"/>
      </right>
      <top style="thick">
        <color theme="4" tint="-0.24994659260841701"/>
      </top>
      <bottom style="thin">
        <color theme="4" tint="-0.24994659260841701"/>
      </bottom>
      <diagonal/>
    </border>
    <border>
      <left style="thin">
        <color theme="4" tint="-0.24994659260841701"/>
      </left>
      <right/>
      <top style="thick">
        <color theme="4" tint="-0.24994659260841701"/>
      </top>
      <bottom style="thick">
        <color theme="4" tint="-0.24994659260841701"/>
      </bottom>
      <diagonal/>
    </border>
    <border>
      <left/>
      <right style="thin">
        <color theme="4" tint="-0.24994659260841701"/>
      </right>
      <top style="thick">
        <color theme="4" tint="-0.24994659260841701"/>
      </top>
      <bottom style="thin">
        <color theme="4" tint="-0.24994659260841701"/>
      </bottom>
      <diagonal/>
    </border>
    <border>
      <left style="thin">
        <color theme="4" tint="-0.24994659260841701"/>
      </left>
      <right style="thin">
        <color theme="4" tint="-0.24994659260841701"/>
      </right>
      <top style="thick">
        <color theme="4" tint="-0.24994659260841701"/>
      </top>
      <bottom style="thick">
        <color theme="4" tint="-0.24994659260841701"/>
      </bottom>
      <diagonal/>
    </border>
    <border>
      <left/>
      <right style="thin">
        <color theme="4" tint="-0.24994659260841701"/>
      </right>
      <top/>
      <bottom/>
      <diagonal/>
    </border>
    <border>
      <left style="medium">
        <color indexed="64"/>
      </left>
      <right style="medium">
        <color indexed="64"/>
      </right>
      <top style="medium">
        <color indexed="64"/>
      </top>
      <bottom style="medium">
        <color indexed="64"/>
      </bottom>
      <diagonal/>
    </border>
    <border>
      <left style="thick">
        <color theme="4" tint="-0.24994659260841701"/>
      </left>
      <right style="thick">
        <color theme="4" tint="-0.24994659260841701"/>
      </right>
      <top style="thick">
        <color theme="4" tint="-0.24994659260841701"/>
      </top>
      <bottom style="thin">
        <color theme="4" tint="-0.24994659260841701"/>
      </bottom>
      <diagonal/>
    </border>
    <border>
      <left style="thick">
        <color theme="4" tint="-0.24994659260841701"/>
      </left>
      <right style="thick">
        <color theme="4" tint="-0.24994659260841701"/>
      </right>
      <top style="thin">
        <color theme="4" tint="-0.24994659260841701"/>
      </top>
      <bottom style="thick">
        <color theme="4" tint="-0.24994659260841701"/>
      </bottom>
      <diagonal/>
    </border>
    <border>
      <left style="thin">
        <color theme="4" tint="-0.24994659260841701"/>
      </left>
      <right/>
      <top/>
      <bottom style="thin">
        <color theme="4" tint="-0.24994659260841701"/>
      </bottom>
      <diagonal/>
    </border>
    <border>
      <left style="thick">
        <color theme="4" tint="-0.24994659260841701"/>
      </left>
      <right/>
      <top style="thick">
        <color theme="4" tint="-0.24994659260841701"/>
      </top>
      <bottom style="thin">
        <color theme="4" tint="-0.24994659260841701"/>
      </bottom>
      <diagonal/>
    </border>
    <border>
      <left/>
      <right style="thick">
        <color theme="4" tint="-0.24994659260841701"/>
      </right>
      <top style="thick">
        <color theme="4" tint="-0.24994659260841701"/>
      </top>
      <bottom style="thin">
        <color theme="4" tint="-0.24994659260841701"/>
      </bottom>
      <diagonal/>
    </border>
    <border>
      <left style="thick">
        <color theme="4" tint="-0.24994659260841701"/>
      </left>
      <right style="thick">
        <color theme="4" tint="-0.24994659260841701"/>
      </right>
      <top style="thick">
        <color theme="4" tint="-0.24994659260841701"/>
      </top>
      <bottom/>
      <diagonal/>
    </border>
    <border>
      <left style="thick">
        <color theme="4" tint="-0.24994659260841701"/>
      </left>
      <right style="thick">
        <color theme="4" tint="-0.24994659260841701"/>
      </right>
      <top/>
      <bottom/>
      <diagonal/>
    </border>
    <border>
      <left style="thick">
        <color theme="4" tint="-0.24994659260841701"/>
      </left>
      <right style="thick">
        <color theme="4" tint="-0.24994659260841701"/>
      </right>
      <top/>
      <bottom style="thick">
        <color theme="4" tint="-0.24994659260841701"/>
      </bottom>
      <diagonal/>
    </border>
    <border>
      <left style="thin">
        <color theme="4" tint="-0.24994659260841701"/>
      </left>
      <right/>
      <top style="thin">
        <color theme="4" tint="-0.24994659260841701"/>
      </top>
      <bottom/>
      <diagonal/>
    </border>
    <border>
      <left/>
      <right style="thin">
        <color theme="4" tint="-0.24994659260841701"/>
      </right>
      <top style="thin">
        <color theme="4" tint="-0.24994659260841701"/>
      </top>
      <bottom/>
      <diagonal/>
    </border>
    <border>
      <left style="thick">
        <color theme="4" tint="-0.24994659260841701"/>
      </left>
      <right style="thick">
        <color theme="4" tint="-0.24994659260841701"/>
      </right>
      <top style="thin">
        <color theme="4" tint="-0.24994659260841701"/>
      </top>
      <bottom style="thin">
        <color theme="4" tint="-0.24994659260841701"/>
      </bottom>
      <diagonal/>
    </border>
    <border>
      <left/>
      <right/>
      <top/>
      <bottom style="thin">
        <color rgb="FF000000"/>
      </bottom>
      <diagonal/>
    </border>
    <border>
      <left/>
      <right/>
      <top style="thin">
        <color rgb="FF000000"/>
      </top>
      <bottom style="thin">
        <color rgb="FF000000"/>
      </bottom>
      <diagonal/>
    </border>
    <border>
      <left/>
      <right/>
      <top style="thin">
        <color rgb="FF000000"/>
      </top>
      <bottom style="medium">
        <color indexed="64"/>
      </bottom>
      <diagonal/>
    </border>
  </borders>
  <cellStyleXfs count="3">
    <xf numFmtId="0" fontId="0" fillId="0" borderId="0"/>
    <xf numFmtId="165" fontId="1" fillId="0" borderId="0" applyFont="0" applyFill="0" applyBorder="0" applyAlignment="0" applyProtection="0"/>
    <xf numFmtId="9" fontId="1" fillId="0" borderId="0" applyFont="0" applyFill="0" applyBorder="0" applyAlignment="0" applyProtection="0"/>
  </cellStyleXfs>
  <cellXfs count="335">
    <xf numFmtId="0" fontId="0" fillId="0" borderId="0" xfId="0"/>
    <xf numFmtId="0" fontId="2" fillId="0" borderId="0" xfId="0" applyFont="1" applyAlignment="1" applyProtection="1">
      <alignment horizontal="left" vertical="center"/>
      <protection hidden="1"/>
    </xf>
    <xf numFmtId="0" fontId="3" fillId="0" borderId="0" xfId="0" applyFont="1" applyAlignment="1" applyProtection="1">
      <alignment vertical="center"/>
      <protection hidden="1"/>
    </xf>
    <xf numFmtId="0" fontId="4" fillId="0" borderId="0" xfId="0" applyFont="1" applyAlignment="1" applyProtection="1">
      <alignment horizontal="right" vertical="center"/>
      <protection hidden="1"/>
    </xf>
    <xf numFmtId="0" fontId="7" fillId="2" borderId="13" xfId="0" applyFont="1" applyFill="1" applyBorder="1" applyAlignment="1" applyProtection="1">
      <alignment horizontal="center" vertical="center"/>
      <protection hidden="1"/>
    </xf>
    <xf numFmtId="0" fontId="6" fillId="0" borderId="0" xfId="0" applyFont="1" applyAlignment="1" applyProtection="1">
      <alignment horizontal="left" vertical="center"/>
      <protection hidden="1"/>
    </xf>
    <xf numFmtId="0" fontId="6" fillId="0" borderId="4" xfId="0" applyFont="1" applyBorder="1" applyAlignment="1" applyProtection="1">
      <alignment horizontal="left" vertical="center" indent="1"/>
      <protection hidden="1"/>
    </xf>
    <xf numFmtId="0" fontId="3" fillId="0" borderId="4" xfId="0" applyFont="1" applyBorder="1" applyAlignment="1" applyProtection="1">
      <alignment vertical="center"/>
      <protection hidden="1"/>
    </xf>
    <xf numFmtId="0" fontId="4" fillId="0" borderId="4" xfId="0" applyFont="1" applyBorder="1" applyAlignment="1" applyProtection="1">
      <alignment horizontal="right" vertical="center"/>
      <protection hidden="1"/>
    </xf>
    <xf numFmtId="0" fontId="6" fillId="0" borderId="0" xfId="0" applyFont="1" applyAlignment="1" applyProtection="1">
      <alignment horizontal="left" vertical="center" indent="1"/>
      <protection hidden="1"/>
    </xf>
    <xf numFmtId="0" fontId="5" fillId="0" borderId="0" xfId="0" applyFont="1" applyProtection="1">
      <protection hidden="1"/>
    </xf>
    <xf numFmtId="0" fontId="10" fillId="0" borderId="0" xfId="0" applyFont="1" applyAlignment="1" applyProtection="1">
      <alignment vertical="center"/>
      <protection hidden="1"/>
    </xf>
    <xf numFmtId="0" fontId="2" fillId="0" borderId="6" xfId="0" applyFont="1" applyBorder="1" applyAlignment="1" applyProtection="1">
      <alignment horizontal="left" vertical="center"/>
      <protection hidden="1"/>
    </xf>
    <xf numFmtId="0" fontId="3" fillId="0" borderId="1" xfId="0" applyFont="1" applyBorder="1" applyAlignment="1" applyProtection="1">
      <alignment vertical="center"/>
      <protection hidden="1"/>
    </xf>
    <xf numFmtId="0" fontId="3" fillId="0" borderId="7" xfId="0" applyFont="1" applyBorder="1" applyAlignment="1" applyProtection="1">
      <alignment horizontal="center" vertical="center"/>
      <protection hidden="1"/>
    </xf>
    <xf numFmtId="0" fontId="3" fillId="0" borderId="0" xfId="0" applyFont="1" applyAlignment="1" applyProtection="1">
      <alignment horizontal="center" vertical="center"/>
      <protection hidden="1"/>
    </xf>
    <xf numFmtId="0" fontId="6" fillId="0" borderId="6" xfId="0" applyFont="1" applyBorder="1" applyAlignment="1" applyProtection="1">
      <alignment horizontal="center" vertical="center"/>
      <protection hidden="1"/>
    </xf>
    <xf numFmtId="0" fontId="6" fillId="0" borderId="5" xfId="0" applyFont="1" applyBorder="1" applyAlignment="1" applyProtection="1">
      <alignment horizontal="center" vertical="center" wrapText="1"/>
      <protection hidden="1"/>
    </xf>
    <xf numFmtId="0" fontId="6" fillId="0" borderId="0" xfId="0" applyFont="1" applyAlignment="1" applyProtection="1">
      <alignment vertical="center"/>
      <protection hidden="1"/>
    </xf>
    <xf numFmtId="0" fontId="3" fillId="0" borderId="0" xfId="0" applyFont="1" applyAlignment="1" applyProtection="1">
      <alignment vertical="center" wrapText="1"/>
      <protection hidden="1"/>
    </xf>
    <xf numFmtId="165" fontId="3" fillId="0" borderId="0" xfId="1" applyFont="1" applyFill="1" applyAlignment="1" applyProtection="1">
      <alignment vertical="center"/>
      <protection hidden="1"/>
    </xf>
    <xf numFmtId="0" fontId="3" fillId="0" borderId="8" xfId="0" applyFont="1" applyBorder="1" applyAlignment="1" applyProtection="1">
      <alignment vertical="center"/>
      <protection hidden="1"/>
    </xf>
    <xf numFmtId="0" fontId="3" fillId="0" borderId="8" xfId="0" applyFont="1" applyBorder="1" applyAlignment="1" applyProtection="1">
      <alignment horizontal="center" vertical="center" wrapText="1"/>
      <protection hidden="1"/>
    </xf>
    <xf numFmtId="165" fontId="6" fillId="0" borderId="1" xfId="1" applyFont="1" applyBorder="1" applyAlignment="1" applyProtection="1">
      <alignment vertical="center" wrapText="1"/>
      <protection hidden="1"/>
    </xf>
    <xf numFmtId="0" fontId="13" fillId="0" borderId="0" xfId="0" applyFont="1" applyAlignment="1" applyProtection="1">
      <alignment vertical="center"/>
      <protection hidden="1"/>
    </xf>
    <xf numFmtId="0" fontId="14" fillId="2" borderId="13" xfId="0" applyFont="1" applyFill="1" applyBorder="1" applyAlignment="1" applyProtection="1">
      <alignment horizontal="center" vertical="center"/>
      <protection hidden="1"/>
    </xf>
    <xf numFmtId="0" fontId="2" fillId="0" borderId="31" xfId="0" applyFont="1" applyBorder="1" applyAlignment="1" applyProtection="1">
      <alignment horizontal="left" vertical="center" indent="1"/>
      <protection hidden="1"/>
    </xf>
    <xf numFmtId="0" fontId="13" fillId="0" borderId="31" xfId="0" applyFont="1" applyBorder="1" applyAlignment="1" applyProtection="1">
      <alignment vertical="center"/>
      <protection hidden="1"/>
    </xf>
    <xf numFmtId="0" fontId="15" fillId="0" borderId="31" xfId="0" applyFont="1" applyBorder="1" applyAlignment="1" applyProtection="1">
      <alignment horizontal="right" vertical="center"/>
      <protection hidden="1"/>
    </xf>
    <xf numFmtId="0" fontId="16" fillId="0" borderId="31" xfId="0" applyFont="1" applyBorder="1" applyAlignment="1" applyProtection="1">
      <alignment horizontal="left" vertical="center" indent="1"/>
      <protection hidden="1"/>
    </xf>
    <xf numFmtId="0" fontId="17" fillId="0" borderId="0" xfId="0" applyFont="1" applyAlignment="1" applyProtection="1">
      <alignment horizontal="left" vertical="center" indent="1"/>
      <protection hidden="1"/>
    </xf>
    <xf numFmtId="0" fontId="18" fillId="0" borderId="0" xfId="0" applyFont="1" applyAlignment="1" applyProtection="1">
      <alignment vertical="center"/>
      <protection hidden="1"/>
    </xf>
    <xf numFmtId="0" fontId="15" fillId="0" borderId="0" xfId="0" applyFont="1" applyAlignment="1" applyProtection="1">
      <alignment horizontal="right" vertical="center"/>
      <protection hidden="1"/>
    </xf>
    <xf numFmtId="0" fontId="16" fillId="0" borderId="0" xfId="0" applyFont="1" applyAlignment="1" applyProtection="1">
      <alignment horizontal="left" vertical="center" indent="1"/>
      <protection hidden="1"/>
    </xf>
    <xf numFmtId="0" fontId="18" fillId="0" borderId="0" xfId="0" applyFont="1" applyAlignment="1" applyProtection="1">
      <alignment horizontal="center" vertical="center"/>
      <protection hidden="1"/>
    </xf>
    <xf numFmtId="0" fontId="6" fillId="0" borderId="1" xfId="0" applyFont="1" applyBorder="1" applyAlignment="1" applyProtection="1">
      <alignment horizontal="left" vertical="center" wrapText="1"/>
      <protection hidden="1"/>
    </xf>
    <xf numFmtId="165" fontId="3" fillId="0" borderId="1" xfId="1" applyFont="1" applyBorder="1" applyAlignment="1" applyProtection="1">
      <alignment vertical="center"/>
      <protection hidden="1"/>
    </xf>
    <xf numFmtId="165" fontId="6" fillId="0" borderId="1" xfId="1" applyFont="1" applyFill="1" applyBorder="1" applyAlignment="1" applyProtection="1">
      <alignment vertical="center"/>
      <protection hidden="1"/>
    </xf>
    <xf numFmtId="0" fontId="18" fillId="0" borderId="1" xfId="0" applyFont="1" applyBorder="1" applyAlignment="1" applyProtection="1">
      <alignment vertical="center"/>
      <protection hidden="1"/>
    </xf>
    <xf numFmtId="0" fontId="11" fillId="0" borderId="1" xfId="0" applyFont="1" applyBorder="1" applyAlignment="1" applyProtection="1">
      <alignment vertical="top" wrapText="1"/>
      <protection hidden="1"/>
    </xf>
    <xf numFmtId="0" fontId="18" fillId="0" borderId="1" xfId="0" applyFont="1" applyBorder="1" applyAlignment="1" applyProtection="1">
      <alignment horizontal="center" vertical="center"/>
      <protection hidden="1"/>
    </xf>
    <xf numFmtId="0" fontId="10" fillId="0" borderId="37" xfId="0" applyFont="1" applyBorder="1" applyAlignment="1" applyProtection="1">
      <alignment vertical="center" wrapText="1"/>
      <protection locked="0"/>
    </xf>
    <xf numFmtId="0" fontId="13" fillId="0" borderId="5" xfId="0" applyFont="1" applyBorder="1" applyAlignment="1" applyProtection="1">
      <alignment horizontal="center" vertical="center"/>
      <protection hidden="1"/>
    </xf>
    <xf numFmtId="0" fontId="13" fillId="0" borderId="5" xfId="0" applyFont="1" applyBorder="1" applyAlignment="1" applyProtection="1">
      <alignment vertical="center"/>
      <protection hidden="1"/>
    </xf>
    <xf numFmtId="0" fontId="13" fillId="0" borderId="0" xfId="0" applyFont="1" applyAlignment="1" applyProtection="1">
      <alignment horizontal="center" vertical="center"/>
      <protection hidden="1"/>
    </xf>
    <xf numFmtId="0" fontId="10" fillId="0" borderId="0" xfId="0" applyFont="1" applyAlignment="1" applyProtection="1">
      <alignment vertical="center" wrapText="1"/>
      <protection hidden="1"/>
    </xf>
    <xf numFmtId="0" fontId="19" fillId="0" borderId="0" xfId="0" applyFont="1" applyAlignment="1" applyProtection="1">
      <alignment vertical="center"/>
      <protection hidden="1"/>
    </xf>
    <xf numFmtId="0" fontId="21" fillId="0" borderId="0" xfId="0" applyFont="1" applyAlignment="1" applyProtection="1">
      <alignment vertical="center" wrapText="1"/>
      <protection hidden="1"/>
    </xf>
    <xf numFmtId="0" fontId="6" fillId="0" borderId="35" xfId="0" applyFont="1" applyBorder="1" applyAlignment="1" applyProtection="1">
      <alignment horizontal="left" vertical="center" wrapText="1"/>
      <protection hidden="1"/>
    </xf>
    <xf numFmtId="0" fontId="11" fillId="0" borderId="34" xfId="0" applyFont="1" applyBorder="1" applyAlignment="1" applyProtection="1">
      <alignment horizontal="center" vertical="center"/>
      <protection hidden="1"/>
    </xf>
    <xf numFmtId="0" fontId="11" fillId="0" borderId="0" xfId="0" applyFont="1" applyAlignment="1" applyProtection="1">
      <alignment vertical="center"/>
      <protection hidden="1"/>
    </xf>
    <xf numFmtId="0" fontId="11" fillId="0" borderId="10" xfId="0" applyFont="1" applyBorder="1" applyAlignment="1" applyProtection="1">
      <alignment horizontal="center" vertical="center"/>
      <protection hidden="1"/>
    </xf>
    <xf numFmtId="0" fontId="22" fillId="0" borderId="0" xfId="0" quotePrefix="1" applyFont="1" applyAlignment="1" applyProtection="1">
      <alignment horizontal="right" vertical="center" wrapText="1"/>
      <protection hidden="1"/>
    </xf>
    <xf numFmtId="0" fontId="13" fillId="4" borderId="0" xfId="0" applyFont="1" applyFill="1" applyAlignment="1" applyProtection="1">
      <alignment horizontal="center" vertical="center"/>
      <protection hidden="1"/>
    </xf>
    <xf numFmtId="0" fontId="13" fillId="4" borderId="0" xfId="0" applyFont="1" applyFill="1" applyAlignment="1" applyProtection="1">
      <alignment vertical="center" wrapText="1"/>
      <protection hidden="1"/>
    </xf>
    <xf numFmtId="0" fontId="13" fillId="0" borderId="0" xfId="0" applyFont="1" applyAlignment="1" applyProtection="1">
      <alignment vertical="center" wrapText="1"/>
      <protection hidden="1"/>
    </xf>
    <xf numFmtId="0" fontId="13" fillId="0" borderId="1" xfId="0" applyFont="1" applyBorder="1" applyAlignment="1" applyProtection="1">
      <alignment vertical="center"/>
      <protection hidden="1"/>
    </xf>
    <xf numFmtId="0" fontId="13" fillId="0" borderId="1" xfId="0" applyFont="1" applyBorder="1" applyAlignment="1" applyProtection="1">
      <alignment horizontal="center" vertical="center"/>
      <protection hidden="1"/>
    </xf>
    <xf numFmtId="0" fontId="23" fillId="0" borderId="14" xfId="0" applyFont="1" applyBorder="1" applyAlignment="1" applyProtection="1">
      <alignment horizontal="center" vertical="center"/>
      <protection hidden="1"/>
    </xf>
    <xf numFmtId="0" fontId="13" fillId="4" borderId="0" xfId="0" applyFont="1" applyFill="1" applyAlignment="1" applyProtection="1">
      <alignment vertical="center"/>
      <protection hidden="1"/>
    </xf>
    <xf numFmtId="0" fontId="24" fillId="0" borderId="0" xfId="0" applyFont="1" applyAlignment="1" applyProtection="1">
      <alignment horizontal="left" wrapText="1"/>
      <protection hidden="1"/>
    </xf>
    <xf numFmtId="0" fontId="2" fillId="0" borderId="9" xfId="0" applyFont="1" applyBorder="1" applyAlignment="1" applyProtection="1">
      <alignment horizontal="center" vertical="center" wrapText="1"/>
      <protection hidden="1"/>
    </xf>
    <xf numFmtId="0" fontId="2" fillId="0" borderId="10" xfId="0" applyFont="1" applyBorder="1" applyAlignment="1" applyProtection="1">
      <alignment horizontal="center" vertical="center" wrapText="1"/>
      <protection hidden="1"/>
    </xf>
    <xf numFmtId="0" fontId="25" fillId="0" borderId="0" xfId="0" applyFont="1" applyAlignment="1" applyProtection="1">
      <alignment horizontal="right" vertical="center"/>
      <protection hidden="1"/>
    </xf>
    <xf numFmtId="0" fontId="6" fillId="0" borderId="1" xfId="0" applyFont="1" applyBorder="1" applyAlignment="1" applyProtection="1">
      <alignment horizontal="left" vertical="center"/>
      <protection hidden="1"/>
    </xf>
    <xf numFmtId="0" fontId="26" fillId="0" borderId="3" xfId="0" applyFont="1" applyBorder="1" applyAlignment="1" applyProtection="1">
      <alignment vertical="center"/>
      <protection hidden="1"/>
    </xf>
    <xf numFmtId="0" fontId="26" fillId="0" borderId="3" xfId="0" applyFont="1" applyBorder="1" applyAlignment="1" applyProtection="1">
      <alignment horizontal="center" vertical="center" wrapText="1"/>
      <protection hidden="1"/>
    </xf>
    <xf numFmtId="0" fontId="26" fillId="0" borderId="2" xfId="0" applyFont="1" applyBorder="1" applyAlignment="1" applyProtection="1">
      <alignment vertical="center"/>
      <protection hidden="1"/>
    </xf>
    <xf numFmtId="167" fontId="26" fillId="0" borderId="2" xfId="0" applyNumberFormat="1" applyFont="1" applyBorder="1" applyAlignment="1" applyProtection="1">
      <alignment horizontal="center" vertical="center"/>
      <protection hidden="1"/>
    </xf>
    <xf numFmtId="0" fontId="26" fillId="0" borderId="0" xfId="0" applyFont="1" applyAlignment="1" applyProtection="1">
      <alignment vertical="center"/>
      <protection hidden="1"/>
    </xf>
    <xf numFmtId="0" fontId="26" fillId="0" borderId="14" xfId="0" applyFont="1" applyBorder="1" applyAlignment="1" applyProtection="1">
      <alignment vertical="center"/>
      <protection hidden="1"/>
    </xf>
    <xf numFmtId="166" fontId="26" fillId="0" borderId="14" xfId="0" applyNumberFormat="1" applyFont="1" applyBorder="1" applyAlignment="1" applyProtection="1">
      <alignment horizontal="center" vertical="center"/>
      <protection hidden="1"/>
    </xf>
    <xf numFmtId="0" fontId="27" fillId="0" borderId="14" xfId="0" applyFont="1" applyBorder="1" applyAlignment="1" applyProtection="1">
      <alignment vertical="center" wrapText="1"/>
      <protection hidden="1"/>
    </xf>
    <xf numFmtId="39" fontId="26" fillId="0" borderId="14" xfId="0" applyNumberFormat="1" applyFont="1" applyBorder="1" applyAlignment="1" applyProtection="1">
      <alignment horizontal="center" vertical="center"/>
      <protection hidden="1"/>
    </xf>
    <xf numFmtId="0" fontId="3" fillId="0" borderId="1" xfId="0" applyFont="1" applyBorder="1" applyAlignment="1" applyProtection="1">
      <alignment horizontal="center" vertical="center"/>
      <protection hidden="1"/>
    </xf>
    <xf numFmtId="0" fontId="26" fillId="0" borderId="11" xfId="0" applyFont="1" applyBorder="1" applyAlignment="1" applyProtection="1">
      <alignment vertical="center"/>
      <protection hidden="1"/>
    </xf>
    <xf numFmtId="0" fontId="26" fillId="0" borderId="2" xfId="0" applyFont="1" applyBorder="1" applyAlignment="1" applyProtection="1">
      <alignment vertical="center" wrapText="1"/>
      <protection hidden="1"/>
    </xf>
    <xf numFmtId="165" fontId="26" fillId="0" borderId="2" xfId="0" applyNumberFormat="1" applyFont="1" applyBorder="1" applyAlignment="1" applyProtection="1">
      <alignment horizontal="center" vertical="center"/>
      <protection hidden="1"/>
    </xf>
    <xf numFmtId="165" fontId="26" fillId="0" borderId="2" xfId="0" applyNumberFormat="1" applyFont="1" applyBorder="1" applyAlignment="1" applyProtection="1">
      <alignment vertical="center"/>
      <protection hidden="1"/>
    </xf>
    <xf numFmtId="0" fontId="26" fillId="0" borderId="14" xfId="0" applyFont="1" applyBorder="1" applyAlignment="1" applyProtection="1">
      <alignment vertical="center" wrapText="1"/>
      <protection hidden="1"/>
    </xf>
    <xf numFmtId="165" fontId="26" fillId="0" borderId="14" xfId="0" applyNumberFormat="1" applyFont="1" applyBorder="1" applyAlignment="1" applyProtection="1">
      <alignment horizontal="center" vertical="center"/>
      <protection hidden="1"/>
    </xf>
    <xf numFmtId="165" fontId="26" fillId="0" borderId="14" xfId="0" applyNumberFormat="1" applyFont="1" applyBorder="1" applyAlignment="1" applyProtection="1">
      <alignment vertical="center"/>
      <protection hidden="1"/>
    </xf>
    <xf numFmtId="165" fontId="26" fillId="0" borderId="30" xfId="0" applyNumberFormat="1" applyFont="1" applyBorder="1" applyAlignment="1" applyProtection="1">
      <alignment vertical="center"/>
      <protection hidden="1"/>
    </xf>
    <xf numFmtId="0" fontId="28" fillId="0" borderId="14" xfId="0" applyFont="1" applyBorder="1" applyAlignment="1" applyProtection="1">
      <alignment vertical="center"/>
      <protection hidden="1"/>
    </xf>
    <xf numFmtId="0" fontId="29" fillId="0" borderId="14" xfId="0" applyFont="1" applyBorder="1" applyAlignment="1" applyProtection="1">
      <alignment horizontal="center" vertical="center"/>
      <protection hidden="1"/>
    </xf>
    <xf numFmtId="165" fontId="28" fillId="0" borderId="30" xfId="0" applyNumberFormat="1" applyFont="1" applyBorder="1" applyAlignment="1" applyProtection="1">
      <alignment vertical="center"/>
      <protection hidden="1"/>
    </xf>
    <xf numFmtId="0" fontId="26" fillId="0" borderId="0" xfId="0" applyFont="1" applyProtection="1">
      <protection hidden="1"/>
    </xf>
    <xf numFmtId="0" fontId="18" fillId="0" borderId="0" xfId="0" applyFont="1" applyProtection="1">
      <protection hidden="1"/>
    </xf>
    <xf numFmtId="0" fontId="30" fillId="0" borderId="0" xfId="0" applyFont="1" applyAlignment="1" applyProtection="1">
      <alignment vertical="center"/>
      <protection hidden="1"/>
    </xf>
    <xf numFmtId="0" fontId="19" fillId="0" borderId="0" xfId="0" applyFont="1" applyAlignment="1" applyProtection="1">
      <alignment horizontal="center" vertical="center"/>
      <protection hidden="1"/>
    </xf>
    <xf numFmtId="0" fontId="26" fillId="0" borderId="0" xfId="0" applyFont="1" applyAlignment="1" applyProtection="1">
      <alignment vertical="center"/>
      <protection locked="0" hidden="1"/>
    </xf>
    <xf numFmtId="0" fontId="10" fillId="4" borderId="0" xfId="0" applyFont="1" applyFill="1" applyAlignment="1" applyProtection="1">
      <alignment vertical="center"/>
      <protection hidden="1"/>
    </xf>
    <xf numFmtId="165" fontId="11" fillId="0" borderId="0" xfId="1" applyFont="1" applyBorder="1" applyAlignment="1" applyProtection="1">
      <alignment vertical="center" wrapText="1"/>
      <protection hidden="1"/>
    </xf>
    <xf numFmtId="0" fontId="23" fillId="0" borderId="9" xfId="0" applyFont="1" applyBorder="1" applyAlignment="1" applyProtection="1">
      <alignment horizontal="center" vertical="center" wrapText="1"/>
      <protection hidden="1"/>
    </xf>
    <xf numFmtId="0" fontId="23" fillId="0" borderId="10" xfId="0" applyFont="1" applyBorder="1" applyAlignment="1" applyProtection="1">
      <alignment horizontal="center" vertical="center" wrapText="1"/>
      <protection hidden="1"/>
    </xf>
    <xf numFmtId="0" fontId="10" fillId="0" borderId="0" xfId="0" applyFont="1" applyProtection="1">
      <protection hidden="1"/>
    </xf>
    <xf numFmtId="0" fontId="2" fillId="0" borderId="0" xfId="0" applyFont="1" applyAlignment="1">
      <alignment vertical="center"/>
    </xf>
    <xf numFmtId="0" fontId="13" fillId="0" borderId="0" xfId="0" applyFont="1" applyAlignment="1">
      <alignment vertical="center"/>
    </xf>
    <xf numFmtId="0" fontId="2" fillId="0" borderId="0" xfId="0" applyFont="1" applyAlignment="1">
      <alignment horizontal="right" vertical="center"/>
    </xf>
    <xf numFmtId="0" fontId="13" fillId="0" borderId="4" xfId="0" applyFont="1" applyBorder="1" applyAlignment="1">
      <alignment vertical="center"/>
    </xf>
    <xf numFmtId="0" fontId="2" fillId="0" borderId="4" xfId="0" applyFont="1" applyBorder="1" applyAlignment="1">
      <alignment vertical="center"/>
    </xf>
    <xf numFmtId="0" fontId="31" fillId="0" borderId="15" xfId="0" applyFont="1" applyBorder="1" applyAlignment="1">
      <alignment vertical="center"/>
    </xf>
    <xf numFmtId="0" fontId="13" fillId="0" borderId="11" xfId="0" applyFont="1" applyBorder="1" applyAlignment="1">
      <alignment vertical="center"/>
    </xf>
    <xf numFmtId="0" fontId="13" fillId="0" borderId="16" xfId="0" applyFont="1" applyBorder="1" applyAlignment="1">
      <alignment vertical="center"/>
    </xf>
    <xf numFmtId="0" fontId="13" fillId="3" borderId="26" xfId="0" applyFont="1" applyFill="1" applyBorder="1" applyAlignment="1">
      <alignment vertical="center"/>
    </xf>
    <xf numFmtId="0" fontId="13" fillId="0" borderId="2" xfId="0" applyFont="1" applyBorder="1" applyAlignment="1">
      <alignment horizontal="center" vertical="center"/>
    </xf>
    <xf numFmtId="0" fontId="13" fillId="0" borderId="27" xfId="0" applyFont="1" applyBorder="1" applyAlignment="1">
      <alignment vertical="center"/>
    </xf>
    <xf numFmtId="0" fontId="13" fillId="3" borderId="21" xfId="0" applyFont="1" applyFill="1" applyBorder="1" applyAlignment="1">
      <alignment vertical="center"/>
    </xf>
    <xf numFmtId="0" fontId="15" fillId="0" borderId="14" xfId="0" applyFont="1" applyBorder="1" applyAlignment="1">
      <alignment horizontal="center" vertical="center"/>
    </xf>
    <xf numFmtId="0" fontId="13" fillId="0" borderId="22" xfId="0" applyFont="1" applyBorder="1" applyAlignment="1">
      <alignment vertical="center"/>
    </xf>
    <xf numFmtId="0" fontId="13" fillId="0" borderId="23" xfId="0" applyFont="1" applyBorder="1" applyAlignment="1">
      <alignment vertical="center"/>
    </xf>
    <xf numFmtId="0" fontId="13" fillId="0" borderId="24" xfId="0" applyFont="1" applyBorder="1" applyAlignment="1">
      <alignment horizontal="center" vertical="center"/>
    </xf>
    <xf numFmtId="0" fontId="13" fillId="0" borderId="25" xfId="0" applyFont="1" applyBorder="1" applyAlignment="1">
      <alignment vertical="center"/>
    </xf>
    <xf numFmtId="0" fontId="13" fillId="0" borderId="0" xfId="0" applyFont="1" applyAlignment="1">
      <alignment horizontal="center" vertical="center"/>
    </xf>
    <xf numFmtId="0" fontId="13" fillId="3" borderId="26" xfId="0" applyFont="1" applyFill="1" applyBorder="1" applyAlignment="1">
      <alignment horizontal="left" vertical="center"/>
    </xf>
    <xf numFmtId="0" fontId="13" fillId="0" borderId="2" xfId="0" applyFont="1" applyBorder="1" applyAlignment="1">
      <alignment vertical="center"/>
    </xf>
    <xf numFmtId="15" fontId="13" fillId="3" borderId="21" xfId="0" quotePrefix="1" applyNumberFormat="1" applyFont="1" applyFill="1" applyBorder="1" applyAlignment="1">
      <alignment horizontal="left" vertical="center"/>
    </xf>
    <xf numFmtId="0" fontId="13" fillId="0" borderId="14" xfId="0" applyFont="1" applyBorder="1" applyAlignment="1">
      <alignment horizontal="center" vertical="center"/>
    </xf>
    <xf numFmtId="0" fontId="32" fillId="0" borderId="15" xfId="0" applyFont="1" applyBorder="1" applyAlignment="1">
      <alignment vertical="center"/>
    </xf>
    <xf numFmtId="0" fontId="13" fillId="0" borderId="11" xfId="0" applyFont="1" applyBorder="1" applyAlignment="1">
      <alignment horizontal="center" vertical="center"/>
    </xf>
    <xf numFmtId="0" fontId="15" fillId="0" borderId="16" xfId="0" applyFont="1" applyBorder="1" applyAlignment="1">
      <alignment vertical="center"/>
    </xf>
    <xf numFmtId="0" fontId="32" fillId="0" borderId="26" xfId="0" applyFont="1" applyBorder="1" applyAlignment="1">
      <alignment vertical="center"/>
    </xf>
    <xf numFmtId="0" fontId="15" fillId="0" borderId="27" xfId="0" applyFont="1" applyBorder="1" applyAlignment="1">
      <alignment vertical="center"/>
    </xf>
    <xf numFmtId="0" fontId="13" fillId="3" borderId="12" xfId="0" applyFont="1" applyFill="1" applyBorder="1" applyAlignment="1">
      <alignment horizontal="center" vertical="center"/>
    </xf>
    <xf numFmtId="0" fontId="15" fillId="0" borderId="22" xfId="0" applyFont="1" applyBorder="1" applyAlignment="1">
      <alignment vertical="center"/>
    </xf>
    <xf numFmtId="0" fontId="15" fillId="3" borderId="22" xfId="0" applyFont="1" applyFill="1" applyBorder="1" applyAlignment="1">
      <alignment vertical="center" wrapText="1"/>
    </xf>
    <xf numFmtId="0" fontId="13" fillId="0" borderId="24" xfId="0" applyFont="1" applyBorder="1" applyAlignment="1">
      <alignment vertical="center"/>
    </xf>
    <xf numFmtId="0" fontId="15" fillId="0" borderId="25" xfId="0" applyFont="1" applyBorder="1" applyAlignment="1">
      <alignment vertical="center"/>
    </xf>
    <xf numFmtId="0" fontId="15" fillId="0" borderId="11" xfId="0" applyFont="1" applyBorder="1" applyAlignment="1">
      <alignment vertical="center"/>
    </xf>
    <xf numFmtId="0" fontId="15" fillId="0" borderId="2" xfId="0" applyFont="1" applyBorder="1" applyAlignment="1">
      <alignment vertical="center"/>
    </xf>
    <xf numFmtId="0" fontId="13" fillId="0" borderId="14" xfId="0" applyFont="1" applyBorder="1" applyAlignment="1">
      <alignment vertical="center"/>
    </xf>
    <xf numFmtId="0" fontId="15" fillId="3" borderId="12" xfId="0" applyFont="1" applyFill="1" applyBorder="1" applyAlignment="1">
      <alignment vertical="center" wrapText="1"/>
    </xf>
    <xf numFmtId="0" fontId="13" fillId="0" borderId="22" xfId="0" applyFont="1" applyBorder="1" applyAlignment="1">
      <alignment vertical="center" wrapText="1"/>
    </xf>
    <xf numFmtId="0" fontId="5" fillId="0" borderId="0" xfId="0" applyFont="1" applyAlignment="1">
      <alignment vertical="center" wrapText="1"/>
    </xf>
    <xf numFmtId="0" fontId="34" fillId="0" borderId="0" xfId="0" applyFont="1" applyAlignment="1">
      <alignment vertical="center" wrapText="1"/>
    </xf>
    <xf numFmtId="0" fontId="13" fillId="0" borderId="0" xfId="0" applyFont="1" applyAlignment="1">
      <alignment vertical="center" wrapText="1"/>
    </xf>
    <xf numFmtId="0" fontId="33" fillId="0" borderId="27" xfId="0" applyFont="1" applyBorder="1" applyAlignment="1">
      <alignment horizontal="center" vertical="center"/>
    </xf>
    <xf numFmtId="165" fontId="13" fillId="3" borderId="28" xfId="1" applyFont="1" applyFill="1" applyBorder="1" applyAlignment="1">
      <alignment vertical="center"/>
    </xf>
    <xf numFmtId="165" fontId="13" fillId="3" borderId="12" xfId="1" applyFont="1" applyFill="1" applyBorder="1" applyAlignment="1">
      <alignment vertical="center"/>
    </xf>
    <xf numFmtId="0" fontId="13" fillId="3" borderId="12" xfId="0" applyFont="1" applyFill="1" applyBorder="1" applyAlignment="1">
      <alignment horizontal="center" vertical="center" wrapText="1"/>
    </xf>
    <xf numFmtId="0" fontId="35" fillId="0" borderId="0" xfId="0" applyFont="1" applyAlignment="1">
      <alignment vertical="center" wrapText="1"/>
    </xf>
    <xf numFmtId="0" fontId="33" fillId="0" borderId="26" xfId="0" applyFont="1" applyBorder="1" applyAlignment="1">
      <alignment vertical="center"/>
    </xf>
    <xf numFmtId="9" fontId="13" fillId="3" borderId="26" xfId="2" applyFont="1" applyFill="1" applyBorder="1" applyAlignment="1">
      <alignment vertical="center"/>
    </xf>
    <xf numFmtId="0" fontId="13" fillId="0" borderId="2" xfId="0" applyFont="1" applyBorder="1" applyAlignment="1">
      <alignment horizontal="left" vertical="center"/>
    </xf>
    <xf numFmtId="9" fontId="13" fillId="3" borderId="21" xfId="2" applyFont="1" applyFill="1" applyBorder="1" applyAlignment="1">
      <alignment vertical="center"/>
    </xf>
    <xf numFmtId="0" fontId="15" fillId="0" borderId="14" xfId="0" applyFont="1" applyBorder="1" applyAlignment="1">
      <alignment horizontal="left" vertical="center"/>
    </xf>
    <xf numFmtId="9" fontId="13" fillId="0" borderId="21" xfId="2" applyFont="1" applyFill="1" applyBorder="1" applyAlignment="1">
      <alignment vertical="center"/>
    </xf>
    <xf numFmtId="165" fontId="13" fillId="3" borderId="38" xfId="1" applyFont="1" applyFill="1" applyBorder="1" applyAlignment="1">
      <alignment vertical="center"/>
    </xf>
    <xf numFmtId="165" fontId="13" fillId="3" borderId="39" xfId="1" applyFont="1" applyFill="1" applyBorder="1" applyAlignment="1">
      <alignment vertical="center"/>
    </xf>
    <xf numFmtId="0" fontId="13" fillId="0" borderId="19" xfId="0" applyFont="1" applyBorder="1" applyAlignment="1">
      <alignment vertical="center"/>
    </xf>
    <xf numFmtId="0" fontId="19" fillId="0" borderId="0" xfId="0" applyFont="1" applyAlignment="1">
      <alignment vertical="center"/>
    </xf>
    <xf numFmtId="0" fontId="18" fillId="0" borderId="0" xfId="0" applyFont="1" applyAlignment="1">
      <alignment vertical="center"/>
    </xf>
    <xf numFmtId="0" fontId="18" fillId="0" borderId="15" xfId="0" applyFont="1" applyBorder="1" applyAlignment="1">
      <alignment vertical="center"/>
    </xf>
    <xf numFmtId="0" fontId="18" fillId="0" borderId="11" xfId="0" applyFont="1" applyBorder="1" applyAlignment="1">
      <alignment vertical="center"/>
    </xf>
    <xf numFmtId="0" fontId="18" fillId="0" borderId="16" xfId="0" applyFont="1" applyBorder="1" applyAlignment="1">
      <alignment vertical="center"/>
    </xf>
    <xf numFmtId="0" fontId="18" fillId="0" borderId="17" xfId="0" applyFont="1" applyBorder="1" applyAlignment="1">
      <alignment vertical="center"/>
    </xf>
    <xf numFmtId="0" fontId="18" fillId="0" borderId="18" xfId="0" applyFont="1" applyBorder="1" applyAlignment="1">
      <alignment vertical="center"/>
    </xf>
    <xf numFmtId="0" fontId="18" fillId="0" borderId="17" xfId="0" applyFont="1" applyBorder="1" applyAlignment="1">
      <alignment horizontal="center" vertical="top"/>
    </xf>
    <xf numFmtId="0" fontId="18" fillId="0" borderId="0" xfId="0" applyFont="1" applyAlignment="1">
      <alignment vertical="top"/>
    </xf>
    <xf numFmtId="0" fontId="10" fillId="0" borderId="18" xfId="0" applyFont="1" applyBorder="1" applyAlignment="1">
      <alignment vertical="top" wrapText="1"/>
    </xf>
    <xf numFmtId="0" fontId="18" fillId="0" borderId="17" xfId="0" applyFont="1" applyBorder="1" applyAlignment="1">
      <alignment horizontal="center" vertical="center"/>
    </xf>
    <xf numFmtId="0" fontId="18" fillId="0" borderId="19" xfId="0" applyFont="1" applyBorder="1" applyAlignment="1">
      <alignment horizontal="center" vertical="top"/>
    </xf>
    <xf numFmtId="0" fontId="18" fillId="0" borderId="4" xfId="0" applyFont="1" applyBorder="1" applyAlignment="1">
      <alignment vertical="top"/>
    </xf>
    <xf numFmtId="0" fontId="10" fillId="0" borderId="20" xfId="0" applyFont="1" applyBorder="1" applyAlignment="1">
      <alignment vertical="top" wrapText="1"/>
    </xf>
    <xf numFmtId="0" fontId="18" fillId="0" borderId="0" xfId="0" applyFont="1" applyAlignment="1">
      <alignment horizontal="center" vertical="center"/>
    </xf>
    <xf numFmtId="0" fontId="18" fillId="0" borderId="0" xfId="0" applyFont="1" applyAlignment="1">
      <alignment horizontal="center" vertical="top"/>
    </xf>
    <xf numFmtId="0" fontId="10" fillId="0" borderId="0" xfId="0" applyFont="1" applyAlignment="1">
      <alignment vertical="top" wrapText="1"/>
    </xf>
    <xf numFmtId="0" fontId="12" fillId="0" borderId="0" xfId="0" applyFont="1" applyAlignment="1" applyProtection="1">
      <alignment vertical="center"/>
      <protection hidden="1"/>
    </xf>
    <xf numFmtId="0" fontId="38" fillId="0" borderId="11" xfId="0" applyFont="1" applyBorder="1" applyAlignment="1" applyProtection="1">
      <alignment horizontal="right" vertical="center"/>
      <protection hidden="1"/>
    </xf>
    <xf numFmtId="0" fontId="12" fillId="0" borderId="0" xfId="0" applyFont="1" applyAlignment="1" applyProtection="1">
      <alignment horizontal="center" vertical="center"/>
      <protection hidden="1"/>
    </xf>
    <xf numFmtId="164" fontId="11" fillId="0" borderId="12" xfId="0" applyNumberFormat="1" applyFont="1" applyBorder="1" applyAlignment="1" applyProtection="1">
      <alignment horizontal="left" vertical="center" wrapText="1"/>
      <protection hidden="1"/>
    </xf>
    <xf numFmtId="0" fontId="23" fillId="0" borderId="2" xfId="0" applyFont="1" applyBorder="1" applyAlignment="1" applyProtection="1">
      <alignment horizontal="center" vertical="center"/>
      <protection hidden="1"/>
    </xf>
    <xf numFmtId="0" fontId="13" fillId="0" borderId="34" xfId="0" applyFont="1" applyBorder="1" applyAlignment="1" applyProtection="1">
      <alignment vertical="center"/>
      <protection hidden="1"/>
    </xf>
    <xf numFmtId="0" fontId="13" fillId="0" borderId="7" xfId="0" applyFont="1" applyBorder="1" applyAlignment="1" applyProtection="1">
      <alignment horizontal="center" vertical="center"/>
      <protection hidden="1"/>
    </xf>
    <xf numFmtId="0" fontId="36" fillId="6" borderId="0" xfId="0" applyFont="1" applyFill="1" applyAlignment="1" applyProtection="1">
      <alignment horizontal="center" vertical="center"/>
      <protection hidden="1"/>
    </xf>
    <xf numFmtId="0" fontId="13" fillId="6" borderId="0" xfId="0" applyFont="1" applyFill="1" applyAlignment="1" applyProtection="1">
      <alignment vertical="center"/>
      <protection hidden="1"/>
    </xf>
    <xf numFmtId="0" fontId="12" fillId="6" borderId="0" xfId="0" applyFont="1" applyFill="1" applyAlignment="1" applyProtection="1">
      <alignment horizontal="center" vertical="center"/>
      <protection hidden="1"/>
    </xf>
    <xf numFmtId="0" fontId="3" fillId="6" borderId="0" xfId="0" applyFont="1" applyFill="1" applyAlignment="1" applyProtection="1">
      <alignment vertical="center"/>
      <protection hidden="1"/>
    </xf>
    <xf numFmtId="0" fontId="18" fillId="6" borderId="0" xfId="0" applyFont="1" applyFill="1" applyAlignment="1" applyProtection="1">
      <alignment vertical="center"/>
      <protection hidden="1"/>
    </xf>
    <xf numFmtId="0" fontId="41" fillId="3" borderId="6" xfId="0" applyFont="1" applyFill="1" applyBorder="1" applyAlignment="1" applyProtection="1">
      <alignment horizontal="left" vertical="center"/>
      <protection hidden="1"/>
    </xf>
    <xf numFmtId="0" fontId="41" fillId="3" borderId="1" xfId="0" applyFont="1" applyFill="1" applyBorder="1" applyAlignment="1" applyProtection="1">
      <alignment horizontal="left" vertical="center"/>
      <protection hidden="1"/>
    </xf>
    <xf numFmtId="0" fontId="42" fillId="3" borderId="1" xfId="0" applyFont="1" applyFill="1" applyBorder="1" applyAlignment="1" applyProtection="1">
      <alignment vertical="center"/>
      <protection hidden="1"/>
    </xf>
    <xf numFmtId="0" fontId="42" fillId="3" borderId="1" xfId="0" applyFont="1" applyFill="1" applyBorder="1" applyAlignment="1" applyProtection="1">
      <alignment horizontal="center" vertical="center"/>
      <protection hidden="1"/>
    </xf>
    <xf numFmtId="0" fontId="43" fillId="3" borderId="7" xfId="0" applyFont="1" applyFill="1" applyBorder="1" applyAlignment="1" applyProtection="1">
      <alignment horizontal="center" vertical="center"/>
      <protection hidden="1"/>
    </xf>
    <xf numFmtId="0" fontId="44" fillId="3" borderId="41" xfId="0" applyFont="1" applyFill="1" applyBorder="1" applyAlignment="1" applyProtection="1">
      <alignment vertical="center"/>
      <protection hidden="1"/>
    </xf>
    <xf numFmtId="0" fontId="41" fillId="3" borderId="3" xfId="0" applyFont="1" applyFill="1" applyBorder="1" applyAlignment="1" applyProtection="1">
      <alignment vertical="center"/>
      <protection hidden="1"/>
    </xf>
    <xf numFmtId="0" fontId="41" fillId="3" borderId="42" xfId="0" applyFont="1" applyFill="1" applyBorder="1" applyAlignment="1" applyProtection="1">
      <alignment vertical="center"/>
      <protection hidden="1"/>
    </xf>
    <xf numFmtId="0" fontId="8" fillId="0" borderId="0" xfId="0" applyFont="1" applyAlignment="1" applyProtection="1">
      <alignment horizontal="center"/>
      <protection hidden="1"/>
    </xf>
    <xf numFmtId="0" fontId="12" fillId="0" borderId="0" xfId="0" applyFont="1" applyAlignment="1" applyProtection="1">
      <alignment horizontal="left" vertical="center"/>
      <protection hidden="1"/>
    </xf>
    <xf numFmtId="167" fontId="23" fillId="0" borderId="12" xfId="0" applyNumberFormat="1" applyFont="1" applyBorder="1" applyAlignment="1" applyProtection="1">
      <alignment horizontal="left" vertical="center" indent="1"/>
      <protection hidden="1"/>
    </xf>
    <xf numFmtId="0" fontId="23" fillId="0" borderId="12" xfId="0" applyFont="1" applyBorder="1" applyAlignment="1" applyProtection="1">
      <alignment horizontal="left" vertical="center" wrapText="1" indent="1"/>
      <protection hidden="1"/>
    </xf>
    <xf numFmtId="0" fontId="23" fillId="0" borderId="12" xfId="0" applyFont="1" applyBorder="1" applyAlignment="1" applyProtection="1">
      <alignment horizontal="left" vertical="center" indent="1"/>
      <protection hidden="1"/>
    </xf>
    <xf numFmtId="0" fontId="17" fillId="0" borderId="0" xfId="0" applyFont="1" applyAlignment="1" applyProtection="1">
      <alignment horizontal="left" vertical="center" indent="1"/>
      <protection locked="0"/>
    </xf>
    <xf numFmtId="165" fontId="13" fillId="3" borderId="39" xfId="1" quotePrefix="1" applyFont="1" applyFill="1" applyBorder="1" applyAlignment="1">
      <alignment vertical="center"/>
    </xf>
    <xf numFmtId="0" fontId="12" fillId="7" borderId="5" xfId="0" applyFont="1" applyFill="1" applyBorder="1" applyAlignment="1" applyProtection="1">
      <alignment horizontal="center" vertical="center"/>
      <protection locked="0"/>
    </xf>
    <xf numFmtId="0" fontId="39" fillId="7" borderId="5" xfId="0" applyFont="1" applyFill="1" applyBorder="1" applyAlignment="1" applyProtection="1">
      <alignment horizontal="center" vertical="center" wrapText="1"/>
      <protection locked="0"/>
    </xf>
    <xf numFmtId="166" fontId="39" fillId="7" borderId="5" xfId="0" applyNumberFormat="1" applyFont="1" applyFill="1" applyBorder="1" applyAlignment="1" applyProtection="1">
      <alignment horizontal="center" vertical="center" wrapText="1"/>
      <protection locked="0"/>
    </xf>
    <xf numFmtId="167" fontId="39" fillId="7" borderId="5" xfId="0" applyNumberFormat="1" applyFont="1" applyFill="1" applyBorder="1" applyAlignment="1" applyProtection="1">
      <alignment horizontal="center" vertical="center" wrapText="1"/>
      <protection locked="0"/>
    </xf>
    <xf numFmtId="39" fontId="39" fillId="7" borderId="5" xfId="1" applyNumberFormat="1" applyFont="1" applyFill="1" applyBorder="1" applyAlignment="1" applyProtection="1">
      <alignment horizontal="center" vertical="center" wrapText="1"/>
      <protection locked="0"/>
    </xf>
    <xf numFmtId="0" fontId="12" fillId="0" borderId="0" xfId="0" quotePrefix="1" applyFont="1" applyAlignment="1" applyProtection="1">
      <alignment horizontal="left" vertical="center" wrapText="1"/>
      <protection hidden="1"/>
    </xf>
    <xf numFmtId="0" fontId="2" fillId="0" borderId="0" xfId="0" applyFont="1" applyAlignment="1" applyProtection="1">
      <alignment horizontal="left" vertical="center" indent="1"/>
      <protection locked="0" hidden="1"/>
    </xf>
    <xf numFmtId="0" fontId="40" fillId="0" borderId="32" xfId="0" applyFont="1" applyBorder="1" applyAlignment="1" applyProtection="1">
      <alignment horizontal="center" vertical="center"/>
      <protection hidden="1"/>
    </xf>
    <xf numFmtId="164" fontId="11" fillId="7" borderId="12" xfId="0" applyNumberFormat="1" applyFont="1" applyFill="1" applyBorder="1" applyAlignment="1" applyProtection="1">
      <alignment horizontal="left" vertical="center" wrapText="1"/>
      <protection locked="0"/>
    </xf>
    <xf numFmtId="164" fontId="11" fillId="7" borderId="32" xfId="0" applyNumberFormat="1" applyFont="1" applyFill="1" applyBorder="1" applyAlignment="1" applyProtection="1">
      <alignment horizontal="left" vertical="center" wrapText="1"/>
      <protection locked="0"/>
    </xf>
    <xf numFmtId="0" fontId="2" fillId="0" borderId="3" xfId="0" applyFont="1" applyBorder="1" applyAlignment="1" applyProtection="1">
      <alignment horizontal="left" vertical="center"/>
      <protection hidden="1"/>
    </xf>
    <xf numFmtId="0" fontId="2" fillId="0" borderId="14" xfId="0" applyFont="1" applyBorder="1" applyAlignment="1" applyProtection="1">
      <alignment horizontal="left" vertical="center"/>
      <protection hidden="1"/>
    </xf>
    <xf numFmtId="0" fontId="40" fillId="0" borderId="29" xfId="0" applyFont="1" applyBorder="1" applyAlignment="1" applyProtection="1">
      <alignment horizontal="center" vertical="center"/>
      <protection hidden="1"/>
    </xf>
    <xf numFmtId="0" fontId="6" fillId="7" borderId="35" xfId="0" applyFont="1" applyFill="1" applyBorder="1" applyAlignment="1" applyProtection="1">
      <alignment horizontal="left" vertical="center" wrapText="1"/>
      <protection locked="0"/>
    </xf>
    <xf numFmtId="0" fontId="11" fillId="7" borderId="40" xfId="0" applyFont="1" applyFill="1" applyBorder="1" applyAlignment="1" applyProtection="1">
      <alignment vertical="top" wrapText="1"/>
      <protection locked="0"/>
    </xf>
    <xf numFmtId="0" fontId="11" fillId="7" borderId="9" xfId="0" applyFont="1" applyFill="1" applyBorder="1" applyAlignment="1" applyProtection="1">
      <alignment vertical="top" wrapText="1"/>
      <protection locked="0"/>
    </xf>
    <xf numFmtId="0" fontId="11" fillId="7" borderId="12" xfId="0" applyFont="1" applyFill="1" applyBorder="1" applyAlignment="1" applyProtection="1">
      <alignment vertical="top" wrapText="1"/>
      <protection locked="0"/>
    </xf>
    <xf numFmtId="0" fontId="12" fillId="0" borderId="1" xfId="0" quotePrefix="1" applyFont="1" applyBorder="1" applyAlignment="1" applyProtection="1">
      <alignment vertical="center" wrapText="1"/>
      <protection hidden="1"/>
    </xf>
    <xf numFmtId="0" fontId="12" fillId="0" borderId="7" xfId="0" applyFont="1" applyBorder="1" applyAlignment="1" applyProtection="1">
      <alignment vertical="center" wrapText="1"/>
      <protection hidden="1"/>
    </xf>
    <xf numFmtId="0" fontId="6" fillId="3" borderId="6" xfId="0" applyFont="1" applyFill="1" applyBorder="1" applyAlignment="1" applyProtection="1">
      <alignment horizontal="left" vertical="center"/>
      <protection hidden="1"/>
    </xf>
    <xf numFmtId="0" fontId="6" fillId="3" borderId="1" xfId="0" applyFont="1" applyFill="1" applyBorder="1" applyAlignment="1" applyProtection="1">
      <alignment vertical="center" wrapText="1"/>
      <protection hidden="1"/>
    </xf>
    <xf numFmtId="165" fontId="6" fillId="3" borderId="5" xfId="1" applyFont="1" applyFill="1" applyBorder="1" applyAlignment="1" applyProtection="1">
      <alignment vertical="center" wrapText="1"/>
      <protection hidden="1"/>
    </xf>
    <xf numFmtId="165" fontId="6" fillId="3" borderId="5" xfId="0" applyNumberFormat="1" applyFont="1" applyFill="1" applyBorder="1" applyAlignment="1" applyProtection="1">
      <alignment vertical="center" wrapText="1"/>
      <protection hidden="1"/>
    </xf>
    <xf numFmtId="0" fontId="20" fillId="3" borderId="1" xfId="0" applyFont="1" applyFill="1" applyBorder="1" applyAlignment="1" applyProtection="1">
      <alignment vertical="center" wrapText="1"/>
      <protection hidden="1"/>
    </xf>
    <xf numFmtId="165" fontId="20" fillId="3" borderId="5" xfId="1" applyFont="1" applyFill="1" applyBorder="1" applyAlignment="1" applyProtection="1">
      <alignment vertical="center" wrapText="1"/>
      <protection hidden="1"/>
    </xf>
    <xf numFmtId="165" fontId="20" fillId="3" borderId="5" xfId="0" applyNumberFormat="1" applyFont="1" applyFill="1" applyBorder="1" applyAlignment="1" applyProtection="1">
      <alignment vertical="center" wrapText="1"/>
      <protection hidden="1"/>
    </xf>
    <xf numFmtId="0" fontId="6" fillId="0" borderId="35" xfId="0" applyFont="1" applyBorder="1" applyAlignment="1" applyProtection="1">
      <alignment vertical="center"/>
      <protection hidden="1"/>
    </xf>
    <xf numFmtId="165" fontId="6" fillId="0" borderId="35" xfId="1" applyFont="1" applyBorder="1" applyAlignment="1" applyProtection="1">
      <alignment vertical="center" wrapText="1"/>
      <protection hidden="1"/>
    </xf>
    <xf numFmtId="165" fontId="6" fillId="0" borderId="33" xfId="1" applyFont="1" applyFill="1" applyBorder="1" applyAlignment="1" applyProtection="1">
      <alignment vertical="center"/>
      <protection hidden="1"/>
    </xf>
    <xf numFmtId="0" fontId="11" fillId="0" borderId="32" xfId="0" applyFont="1" applyBorder="1" applyAlignment="1" applyProtection="1">
      <alignment horizontal="center" vertical="center"/>
      <protection hidden="1"/>
    </xf>
    <xf numFmtId="0" fontId="11" fillId="0" borderId="0" xfId="0" applyFont="1" applyAlignment="1" applyProtection="1">
      <alignment horizontal="center" vertical="center"/>
      <protection hidden="1"/>
    </xf>
    <xf numFmtId="0" fontId="11" fillId="0" borderId="12" xfId="0" applyFont="1" applyBorder="1" applyAlignment="1" applyProtection="1">
      <alignment horizontal="center" vertical="center"/>
      <protection hidden="1"/>
    </xf>
    <xf numFmtId="0" fontId="6" fillId="0" borderId="0" xfId="0" applyFont="1" applyAlignment="1" applyProtection="1">
      <alignment horizontal="left" vertical="center" indent="1"/>
      <protection locked="0"/>
    </xf>
    <xf numFmtId="0" fontId="6" fillId="7" borderId="5" xfId="0" applyFont="1" applyFill="1" applyBorder="1" applyAlignment="1" applyProtection="1">
      <alignment horizontal="center" vertical="center" wrapText="1"/>
      <protection locked="0" hidden="1"/>
    </xf>
    <xf numFmtId="0" fontId="11" fillId="7" borderId="32" xfId="0" applyFont="1" applyFill="1" applyBorder="1" applyAlignment="1" applyProtection="1">
      <alignment horizontal="left" vertical="center" wrapText="1"/>
      <protection locked="0"/>
    </xf>
    <xf numFmtId="165" fontId="11" fillId="7" borderId="32" xfId="1" applyFont="1" applyFill="1" applyBorder="1" applyAlignment="1" applyProtection="1">
      <alignment vertical="center"/>
      <protection locked="0"/>
    </xf>
    <xf numFmtId="0" fontId="11" fillId="7" borderId="32" xfId="0" applyFont="1" applyFill="1" applyBorder="1" applyAlignment="1" applyProtection="1">
      <alignment vertical="center"/>
      <protection locked="0"/>
    </xf>
    <xf numFmtId="0" fontId="11" fillId="7" borderId="12" xfId="0" applyFont="1" applyFill="1" applyBorder="1" applyAlignment="1" applyProtection="1">
      <alignment horizontal="left" vertical="center" wrapText="1"/>
      <protection locked="0"/>
    </xf>
    <xf numFmtId="165" fontId="11" fillId="7" borderId="12" xfId="1" applyFont="1" applyFill="1" applyBorder="1" applyAlignment="1" applyProtection="1">
      <alignment vertical="center"/>
      <protection locked="0"/>
    </xf>
    <xf numFmtId="0" fontId="11" fillId="7" borderId="12" xfId="0" applyFont="1" applyFill="1" applyBorder="1" applyAlignment="1" applyProtection="1">
      <alignment vertical="center"/>
      <protection locked="0"/>
    </xf>
    <xf numFmtId="0" fontId="11" fillId="7" borderId="32" xfId="0" applyFont="1" applyFill="1" applyBorder="1" applyAlignment="1" applyProtection="1">
      <alignment horizontal="center" vertical="center" wrapText="1"/>
      <protection locked="0" hidden="1"/>
    </xf>
    <xf numFmtId="0" fontId="11" fillId="7" borderId="12" xfId="0" applyFont="1" applyFill="1" applyBorder="1" applyAlignment="1" applyProtection="1">
      <alignment horizontal="center" vertical="center" wrapText="1"/>
      <protection locked="0" hidden="1"/>
    </xf>
    <xf numFmtId="0" fontId="39" fillId="0" borderId="5" xfId="0" applyFont="1" applyBorder="1" applyAlignment="1" applyProtection="1">
      <alignment horizontal="center" vertical="center"/>
      <protection hidden="1"/>
    </xf>
    <xf numFmtId="0" fontId="11" fillId="0" borderId="38" xfId="0" applyFont="1" applyBorder="1" applyAlignment="1" applyProtection="1">
      <alignment vertical="center" wrapText="1"/>
      <protection locked="0"/>
    </xf>
    <xf numFmtId="0" fontId="11" fillId="0" borderId="48" xfId="0" applyFont="1" applyBorder="1" applyAlignment="1" applyProtection="1">
      <alignment vertical="center" wrapText="1"/>
      <protection locked="0"/>
    </xf>
    <xf numFmtId="0" fontId="11" fillId="0" borderId="39" xfId="0" applyFont="1" applyBorder="1" applyAlignment="1" applyProtection="1">
      <alignment vertical="center" wrapText="1"/>
      <protection locked="0"/>
    </xf>
    <xf numFmtId="0" fontId="48" fillId="5" borderId="5" xfId="0" applyFont="1" applyFill="1" applyBorder="1" applyAlignment="1" applyProtection="1">
      <alignment horizontal="center" vertical="center"/>
      <protection locked="0" hidden="1"/>
    </xf>
    <xf numFmtId="165" fontId="6" fillId="3" borderId="1" xfId="1" applyFont="1" applyFill="1" applyBorder="1" applyAlignment="1" applyProtection="1">
      <alignment vertical="center" wrapText="1"/>
      <protection hidden="1"/>
    </xf>
    <xf numFmtId="165" fontId="6" fillId="3" borderId="1" xfId="0" applyNumberFormat="1" applyFont="1" applyFill="1" applyBorder="1" applyAlignment="1" applyProtection="1">
      <alignment vertical="center" wrapText="1"/>
      <protection hidden="1"/>
    </xf>
    <xf numFmtId="165" fontId="6" fillId="3" borderId="1" xfId="1" applyFont="1" applyFill="1" applyBorder="1" applyAlignment="1" applyProtection="1">
      <alignment horizontal="center" vertical="center" wrapText="1"/>
      <protection hidden="1"/>
    </xf>
    <xf numFmtId="0" fontId="39" fillId="0" borderId="0" xfId="0" applyFont="1" applyAlignment="1" applyProtection="1">
      <alignment vertical="center"/>
      <protection hidden="1"/>
    </xf>
    <xf numFmtId="0" fontId="39" fillId="0" borderId="0" xfId="0" applyFont="1" applyAlignment="1" applyProtection="1">
      <alignment horizontal="center" vertical="center"/>
      <protection hidden="1"/>
    </xf>
    <xf numFmtId="0" fontId="47" fillId="0" borderId="0" xfId="0" applyFont="1" applyAlignment="1" applyProtection="1">
      <alignment horizontal="center" vertical="center" wrapText="1"/>
      <protection hidden="1"/>
    </xf>
    <xf numFmtId="0" fontId="40" fillId="0" borderId="0" xfId="0" applyFont="1" applyAlignment="1" applyProtection="1">
      <alignment vertical="center"/>
      <protection hidden="1"/>
    </xf>
    <xf numFmtId="0" fontId="39" fillId="0" borderId="4" xfId="0" applyFont="1" applyBorder="1" applyAlignment="1" applyProtection="1">
      <alignment vertical="center"/>
      <protection hidden="1"/>
    </xf>
    <xf numFmtId="0" fontId="40" fillId="0" borderId="4" xfId="0" applyFont="1" applyBorder="1" applyAlignment="1" applyProtection="1">
      <alignment horizontal="center" vertical="center"/>
      <protection hidden="1"/>
    </xf>
    <xf numFmtId="0" fontId="39" fillId="0" borderId="4" xfId="0" applyFont="1" applyBorder="1" applyAlignment="1" applyProtection="1">
      <alignment horizontal="right" vertical="center"/>
      <protection hidden="1"/>
    </xf>
    <xf numFmtId="0" fontId="10" fillId="0" borderId="0" xfId="0" applyFont="1" applyAlignment="1" applyProtection="1">
      <alignment horizontal="center" vertical="center"/>
      <protection hidden="1"/>
    </xf>
    <xf numFmtId="0" fontId="40" fillId="0" borderId="0" xfId="0" applyFont="1" applyAlignment="1" applyProtection="1">
      <alignment vertical="center" wrapText="1"/>
      <protection hidden="1"/>
    </xf>
    <xf numFmtId="0" fontId="10" fillId="0" borderId="0" xfId="0" applyFont="1" applyAlignment="1" applyProtection="1">
      <alignment horizontal="center" vertical="center"/>
      <protection locked="0" hidden="1"/>
    </xf>
    <xf numFmtId="0" fontId="46" fillId="0" borderId="0" xfId="0" applyFont="1" applyAlignment="1" applyProtection="1">
      <alignment horizontal="center" vertical="center"/>
      <protection hidden="1"/>
    </xf>
    <xf numFmtId="0" fontId="50" fillId="0" borderId="0" xfId="0" applyFont="1" applyAlignment="1" applyProtection="1">
      <alignment horizontal="center" vertical="center"/>
      <protection hidden="1"/>
    </xf>
    <xf numFmtId="0" fontId="46" fillId="0" borderId="0" xfId="0" applyFont="1" applyAlignment="1" applyProtection="1">
      <alignment horizontal="center"/>
      <protection hidden="1"/>
    </xf>
    <xf numFmtId="0" fontId="51" fillId="0" borderId="0" xfId="0" applyFont="1" applyAlignment="1" applyProtection="1">
      <alignment horizontal="center" vertical="center"/>
      <protection hidden="1"/>
    </xf>
    <xf numFmtId="0" fontId="52" fillId="0" borderId="0" xfId="0" applyFont="1" applyAlignment="1" applyProtection="1">
      <alignment horizontal="center"/>
      <protection hidden="1"/>
    </xf>
    <xf numFmtId="0" fontId="50" fillId="0" borderId="5" xfId="0" quotePrefix="1" applyFont="1" applyBorder="1" applyAlignment="1" applyProtection="1">
      <alignment horizontal="center" vertical="center"/>
      <protection locked="0" hidden="1"/>
    </xf>
    <xf numFmtId="0" fontId="9" fillId="3" borderId="5" xfId="0" applyFont="1" applyFill="1" applyBorder="1" applyAlignment="1" applyProtection="1">
      <alignment horizontal="center" vertical="center"/>
      <protection hidden="1"/>
    </xf>
    <xf numFmtId="0" fontId="37" fillId="0" borderId="0" xfId="0" applyFont="1" applyProtection="1">
      <protection hidden="1"/>
    </xf>
    <xf numFmtId="0" fontId="2" fillId="0" borderId="0" xfId="0" applyFont="1" applyAlignment="1" applyProtection="1">
      <alignment horizontal="left" vertical="center" indent="1"/>
      <protection locked="0"/>
    </xf>
    <xf numFmtId="49" fontId="11" fillId="0" borderId="12" xfId="0" applyNumberFormat="1" applyFont="1" applyBorder="1" applyAlignment="1" applyProtection="1">
      <alignment horizontal="left" vertical="center" wrapText="1"/>
      <protection hidden="1"/>
    </xf>
    <xf numFmtId="164" fontId="11" fillId="0" borderId="32" xfId="0" applyNumberFormat="1" applyFont="1" applyBorder="1" applyAlignment="1" applyProtection="1">
      <alignment horizontal="left" vertical="center" wrapText="1"/>
      <protection hidden="1"/>
    </xf>
    <xf numFmtId="0" fontId="33" fillId="0" borderId="2" xfId="0" applyFont="1" applyBorder="1" applyAlignment="1">
      <alignment horizontal="center" vertical="center"/>
    </xf>
    <xf numFmtId="0" fontId="55" fillId="8" borderId="49" xfId="0" applyFont="1" applyFill="1" applyBorder="1" applyAlignment="1" applyProtection="1">
      <alignment horizontal="justify" vertical="center"/>
      <protection locked="0"/>
    </xf>
    <xf numFmtId="0" fontId="55" fillId="0" borderId="49" xfId="0" applyFont="1" applyBorder="1" applyAlignment="1" applyProtection="1">
      <alignment horizontal="justify" vertical="center"/>
      <protection locked="0"/>
    </xf>
    <xf numFmtId="0" fontId="55" fillId="0" borderId="49" xfId="0" applyFont="1" applyBorder="1" applyAlignment="1" applyProtection="1">
      <alignment horizontal="justify" vertical="center" wrapText="1"/>
      <protection locked="0"/>
    </xf>
    <xf numFmtId="0" fontId="55" fillId="8" borderId="49" xfId="0" applyFont="1" applyFill="1" applyBorder="1" applyAlignment="1" applyProtection="1">
      <alignment horizontal="justify" vertical="center" wrapText="1"/>
      <protection locked="0"/>
    </xf>
    <xf numFmtId="0" fontId="55" fillId="0" borderId="50" xfId="0" applyFont="1" applyBorder="1" applyAlignment="1" applyProtection="1">
      <alignment horizontal="justify" vertical="center" wrapText="1"/>
      <protection locked="0"/>
    </xf>
    <xf numFmtId="0" fontId="55" fillId="8" borderId="50" xfId="0" applyFont="1" applyFill="1" applyBorder="1" applyAlignment="1" applyProtection="1">
      <alignment horizontal="justify" vertical="center" wrapText="1"/>
      <protection locked="0"/>
    </xf>
    <xf numFmtId="0" fontId="55" fillId="0" borderId="51" xfId="0" applyFont="1" applyBorder="1" applyAlignment="1" applyProtection="1">
      <alignment horizontal="justify" vertical="center" wrapText="1"/>
      <protection locked="0"/>
    </xf>
    <xf numFmtId="0" fontId="46" fillId="3" borderId="43" xfId="0" applyFont="1" applyFill="1" applyBorder="1" applyAlignment="1" applyProtection="1">
      <alignment horizontal="center" vertical="center" wrapText="1"/>
      <protection hidden="1"/>
    </xf>
    <xf numFmtId="0" fontId="46" fillId="3" borderId="44" xfId="0" applyFont="1" applyFill="1" applyBorder="1" applyAlignment="1" applyProtection="1">
      <alignment horizontal="center" vertical="center" wrapText="1"/>
      <protection hidden="1"/>
    </xf>
    <xf numFmtId="0" fontId="46" fillId="3" borderId="45" xfId="0" applyFont="1" applyFill="1" applyBorder="1" applyAlignment="1" applyProtection="1">
      <alignment horizontal="center" vertical="center" wrapText="1"/>
      <protection hidden="1"/>
    </xf>
    <xf numFmtId="0" fontId="39" fillId="3" borderId="43" xfId="0" applyFont="1" applyFill="1" applyBorder="1" applyAlignment="1" applyProtection="1">
      <alignment horizontal="center" vertical="center" wrapText="1"/>
      <protection hidden="1"/>
    </xf>
    <xf numFmtId="0" fontId="39" fillId="3" borderId="45" xfId="0" applyFont="1" applyFill="1" applyBorder="1" applyAlignment="1" applyProtection="1">
      <alignment horizontal="center" vertical="center"/>
      <protection hidden="1"/>
    </xf>
    <xf numFmtId="0" fontId="37" fillId="3" borderId="43" xfId="0" applyFont="1" applyFill="1" applyBorder="1" applyAlignment="1" applyProtection="1">
      <alignment horizontal="center" vertical="top" wrapText="1"/>
      <protection hidden="1"/>
    </xf>
    <xf numFmtId="0" fontId="37" fillId="3" borderId="45" xfId="0" applyFont="1" applyFill="1" applyBorder="1" applyAlignment="1" applyProtection="1">
      <alignment horizontal="center" vertical="top"/>
      <protection hidden="1"/>
    </xf>
    <xf numFmtId="0" fontId="6" fillId="3" borderId="6" xfId="0" applyFont="1" applyFill="1" applyBorder="1" applyAlignment="1" applyProtection="1">
      <alignment horizontal="center" vertical="center" wrapText="1"/>
      <protection hidden="1"/>
    </xf>
    <xf numFmtId="0" fontId="6" fillId="3" borderId="7" xfId="0" applyFont="1" applyFill="1" applyBorder="1" applyAlignment="1" applyProtection="1">
      <alignment horizontal="center" vertical="center" wrapText="1"/>
      <protection hidden="1"/>
    </xf>
    <xf numFmtId="0" fontId="45" fillId="3" borderId="21" xfId="0" applyFont="1" applyFill="1" applyBorder="1" applyAlignment="1" applyProtection="1">
      <alignment horizontal="left" vertical="center" wrapText="1"/>
      <protection hidden="1"/>
    </xf>
    <xf numFmtId="0" fontId="45" fillId="3" borderId="14" xfId="0" applyFont="1" applyFill="1" applyBorder="1" applyAlignment="1" applyProtection="1">
      <alignment horizontal="left" vertical="center" wrapText="1"/>
      <protection hidden="1"/>
    </xf>
    <xf numFmtId="0" fontId="45" fillId="3" borderId="22" xfId="0" applyFont="1" applyFill="1" applyBorder="1" applyAlignment="1" applyProtection="1">
      <alignment horizontal="left" vertical="center" wrapText="1"/>
      <protection hidden="1"/>
    </xf>
    <xf numFmtId="0" fontId="45" fillId="3" borderId="23" xfId="0" applyFont="1" applyFill="1" applyBorder="1" applyAlignment="1" applyProtection="1">
      <alignment horizontal="left" vertical="center" wrapText="1"/>
      <protection hidden="1"/>
    </xf>
    <xf numFmtId="0" fontId="45" fillId="3" borderId="24" xfId="0" applyFont="1" applyFill="1" applyBorder="1" applyAlignment="1" applyProtection="1">
      <alignment horizontal="left" vertical="center" wrapText="1"/>
      <protection hidden="1"/>
    </xf>
    <xf numFmtId="0" fontId="45" fillId="3" borderId="25" xfId="0" applyFont="1" applyFill="1" applyBorder="1" applyAlignment="1" applyProtection="1">
      <alignment horizontal="left" vertical="center" wrapText="1"/>
      <protection hidden="1"/>
    </xf>
    <xf numFmtId="0" fontId="6" fillId="7" borderId="6" xfId="0" applyFont="1" applyFill="1" applyBorder="1" applyAlignment="1" applyProtection="1">
      <alignment horizontal="center" vertical="center" wrapText="1"/>
      <protection locked="0" hidden="1"/>
    </xf>
    <xf numFmtId="0" fontId="6" fillId="7" borderId="7" xfId="0" applyFont="1" applyFill="1" applyBorder="1" applyAlignment="1" applyProtection="1">
      <alignment horizontal="center" vertical="center" wrapText="1"/>
      <protection locked="0" hidden="1"/>
    </xf>
    <xf numFmtId="0" fontId="6" fillId="3" borderId="5" xfId="0" applyFont="1" applyFill="1" applyBorder="1" applyAlignment="1" applyProtection="1">
      <alignment horizontal="center" vertical="center" wrapText="1"/>
      <protection hidden="1"/>
    </xf>
    <xf numFmtId="0" fontId="11" fillId="0" borderId="9" xfId="0" applyFont="1" applyBorder="1" applyAlignment="1" applyProtection="1">
      <alignment horizontal="left" vertical="center" wrapText="1"/>
      <protection hidden="1"/>
    </xf>
    <xf numFmtId="0" fontId="11" fillId="0" borderId="14" xfId="0" applyFont="1" applyBorder="1" applyAlignment="1" applyProtection="1">
      <alignment horizontal="left" vertical="center" wrapText="1"/>
      <protection hidden="1"/>
    </xf>
    <xf numFmtId="0" fontId="11" fillId="0" borderId="10" xfId="0" applyFont="1" applyBorder="1" applyAlignment="1" applyProtection="1">
      <alignment horizontal="left" vertical="center" wrapText="1"/>
      <protection hidden="1"/>
    </xf>
    <xf numFmtId="0" fontId="11" fillId="0" borderId="46" xfId="0" applyFont="1" applyBorder="1" applyAlignment="1" applyProtection="1">
      <alignment horizontal="left" vertical="center" wrapText="1"/>
      <protection hidden="1"/>
    </xf>
    <xf numFmtId="0" fontId="11" fillId="0" borderId="30" xfId="0" applyFont="1" applyBorder="1" applyAlignment="1" applyProtection="1">
      <alignment horizontal="left" vertical="center" wrapText="1"/>
      <protection hidden="1"/>
    </xf>
    <xf numFmtId="0" fontId="11" fillId="0" borderId="47" xfId="0" applyFont="1" applyBorder="1" applyAlignment="1" applyProtection="1">
      <alignment horizontal="left" vertical="center" wrapText="1"/>
      <protection hidden="1"/>
    </xf>
    <xf numFmtId="0" fontId="39" fillId="0" borderId="14" xfId="0" applyFont="1" applyBorder="1" applyAlignment="1" applyProtection="1">
      <alignment horizontal="left" vertical="center"/>
      <protection hidden="1"/>
    </xf>
    <xf numFmtId="0" fontId="39" fillId="0" borderId="3" xfId="0" applyFont="1" applyBorder="1" applyAlignment="1" applyProtection="1">
      <alignment horizontal="left" vertical="center"/>
      <protection hidden="1"/>
    </xf>
    <xf numFmtId="164" fontId="11" fillId="0" borderId="9" xfId="0" applyNumberFormat="1" applyFont="1" applyBorder="1" applyAlignment="1" applyProtection="1">
      <alignment horizontal="left" vertical="center" wrapText="1"/>
      <protection locked="0"/>
    </xf>
    <xf numFmtId="164" fontId="11" fillId="0" borderId="14" xfId="0" applyNumberFormat="1" applyFont="1" applyBorder="1" applyAlignment="1" applyProtection="1">
      <alignment horizontal="left" vertical="center" wrapText="1"/>
      <protection locked="0"/>
    </xf>
    <xf numFmtId="164" fontId="11" fillId="0" borderId="32" xfId="0" applyNumberFormat="1" applyFont="1" applyBorder="1" applyAlignment="1" applyProtection="1">
      <alignment horizontal="left" vertical="center" wrapText="1"/>
      <protection locked="0"/>
    </xf>
    <xf numFmtId="164" fontId="11" fillId="0" borderId="29" xfId="0" applyNumberFormat="1" applyFont="1" applyBorder="1" applyAlignment="1" applyProtection="1">
      <alignment horizontal="left" vertical="center" wrapText="1"/>
      <protection locked="0"/>
    </xf>
    <xf numFmtId="164" fontId="11" fillId="0" borderId="9" xfId="0" applyNumberFormat="1" applyFont="1" applyBorder="1" applyAlignment="1" applyProtection="1">
      <alignment horizontal="left" vertical="center" wrapText="1"/>
      <protection hidden="1"/>
    </xf>
    <xf numFmtId="164" fontId="11" fillId="0" borderId="14" xfId="0" applyNumberFormat="1" applyFont="1" applyBorder="1" applyAlignment="1" applyProtection="1">
      <alignment horizontal="left" vertical="center" wrapText="1"/>
      <protection hidden="1"/>
    </xf>
    <xf numFmtId="0" fontId="3" fillId="0" borderId="0" xfId="0" applyFont="1" applyAlignment="1" applyProtection="1">
      <alignment horizontal="left" vertical="center" wrapText="1"/>
      <protection hidden="1"/>
    </xf>
    <xf numFmtId="0" fontId="3" fillId="0" borderId="36" xfId="0" applyFont="1" applyBorder="1" applyAlignment="1" applyProtection="1">
      <alignment horizontal="left" vertical="center" wrapText="1"/>
      <protection hidden="1"/>
    </xf>
    <xf numFmtId="0" fontId="6" fillId="0" borderId="33" xfId="0" applyFont="1" applyBorder="1" applyAlignment="1" applyProtection="1">
      <alignment horizontal="center" vertical="center" wrapText="1"/>
      <protection hidden="1"/>
    </xf>
    <xf numFmtId="0" fontId="6" fillId="0" borderId="7" xfId="0" applyFont="1" applyBorder="1" applyAlignment="1" applyProtection="1">
      <alignment horizontal="center" vertical="center" wrapText="1"/>
      <protection hidden="1"/>
    </xf>
    <xf numFmtId="164" fontId="11" fillId="0" borderId="32" xfId="0" applyNumberFormat="1" applyFont="1" applyBorder="1" applyAlignment="1" applyProtection="1">
      <alignment horizontal="left" vertical="center" wrapText="1"/>
      <protection hidden="1"/>
    </xf>
    <xf numFmtId="164" fontId="11" fillId="0" borderId="29" xfId="0" applyNumberFormat="1" applyFont="1" applyBorder="1" applyAlignment="1" applyProtection="1">
      <alignment horizontal="left" vertical="center" wrapText="1"/>
      <protection hidden="1"/>
    </xf>
    <xf numFmtId="0" fontId="6" fillId="0" borderId="33" xfId="0" applyFont="1" applyBorder="1" applyAlignment="1" applyProtection="1">
      <alignment horizontal="center" vertical="center" wrapText="1"/>
      <protection locked="0"/>
    </xf>
    <xf numFmtId="0" fontId="6" fillId="0" borderId="7" xfId="0" applyFont="1" applyBorder="1" applyAlignment="1" applyProtection="1">
      <alignment horizontal="center" vertical="center" wrapText="1"/>
      <protection locked="0"/>
    </xf>
    <xf numFmtId="0" fontId="47" fillId="0" borderId="2" xfId="0" applyFont="1" applyBorder="1" applyAlignment="1" applyProtection="1">
      <alignment horizontal="center" wrapText="1"/>
      <protection hidden="1"/>
    </xf>
    <xf numFmtId="0" fontId="12" fillId="0" borderId="0" xfId="0" applyFont="1" applyAlignment="1" applyProtection="1">
      <alignment horizontal="left" vertical="center" wrapText="1"/>
      <protection hidden="1"/>
    </xf>
    <xf numFmtId="0" fontId="11" fillId="0" borderId="0" xfId="0" applyFont="1" applyAlignment="1" applyProtection="1">
      <alignment horizontal="left" vertical="center" wrapText="1"/>
      <protection hidden="1"/>
    </xf>
    <xf numFmtId="0" fontId="11" fillId="0" borderId="36" xfId="0" applyFont="1" applyBorder="1" applyAlignment="1" applyProtection="1">
      <alignment horizontal="left" vertical="center" wrapText="1"/>
      <protection hidden="1"/>
    </xf>
    <xf numFmtId="0" fontId="54" fillId="0" borderId="30" xfId="0" applyFont="1" applyBorder="1" applyAlignment="1" applyProtection="1">
      <alignment horizontal="right" vertical="top" wrapText="1"/>
      <protection hidden="1"/>
    </xf>
    <xf numFmtId="0" fontId="25" fillId="0" borderId="2" xfId="0" applyFont="1" applyBorder="1" applyAlignment="1" applyProtection="1">
      <alignment horizontal="center" wrapText="1"/>
      <protection hidden="1"/>
    </xf>
    <xf numFmtId="0" fontId="27" fillId="7" borderId="9" xfId="0" applyFont="1" applyFill="1" applyBorder="1" applyAlignment="1" applyProtection="1">
      <alignment horizontal="left" vertical="top" wrapText="1"/>
      <protection locked="0"/>
    </xf>
    <xf numFmtId="0" fontId="27" fillId="7" borderId="14" xfId="0" applyFont="1" applyFill="1" applyBorder="1" applyAlignment="1" applyProtection="1">
      <alignment horizontal="left" vertical="top" wrapText="1"/>
      <protection locked="0"/>
    </xf>
    <xf numFmtId="0" fontId="27" fillId="7" borderId="10" xfId="0" applyFont="1" applyFill="1" applyBorder="1" applyAlignment="1" applyProtection="1">
      <alignment horizontal="left" vertical="top" wrapText="1"/>
      <protection locked="0"/>
    </xf>
    <xf numFmtId="0" fontId="53" fillId="0" borderId="9" xfId="0" applyFont="1" applyBorder="1" applyAlignment="1" applyProtection="1">
      <alignment horizontal="left" vertical="top" wrapText="1"/>
      <protection hidden="1"/>
    </xf>
    <xf numFmtId="0" fontId="53" fillId="0" borderId="14" xfId="0" applyFont="1" applyBorder="1" applyAlignment="1" applyProtection="1">
      <alignment horizontal="left" vertical="top" wrapText="1"/>
      <protection hidden="1"/>
    </xf>
    <xf numFmtId="0" fontId="53" fillId="0" borderId="10" xfId="0" applyFont="1" applyBorder="1" applyAlignment="1" applyProtection="1">
      <alignment horizontal="left" vertical="top" wrapText="1"/>
      <protection hidden="1"/>
    </xf>
    <xf numFmtId="0" fontId="49" fillId="3" borderId="6" xfId="0" applyFont="1" applyFill="1" applyBorder="1" applyAlignment="1" applyProtection="1">
      <alignment horizontal="left" vertical="top" wrapText="1"/>
      <protection hidden="1"/>
    </xf>
    <xf numFmtId="0" fontId="49" fillId="3" borderId="1" xfId="0" applyFont="1" applyFill="1" applyBorder="1" applyAlignment="1" applyProtection="1">
      <alignment horizontal="left" vertical="top" wrapText="1"/>
      <protection hidden="1"/>
    </xf>
    <xf numFmtId="0" fontId="49" fillId="3" borderId="7" xfId="0" applyFont="1" applyFill="1" applyBorder="1" applyAlignment="1" applyProtection="1">
      <alignment horizontal="left" vertical="top" wrapText="1"/>
      <protection hidden="1"/>
    </xf>
    <xf numFmtId="0" fontId="49" fillId="3" borderId="6" xfId="0" quotePrefix="1" applyFont="1" applyFill="1" applyBorder="1" applyAlignment="1" applyProtection="1">
      <alignment horizontal="left" vertical="top" wrapText="1"/>
      <protection hidden="1"/>
    </xf>
    <xf numFmtId="0" fontId="33" fillId="0" borderId="26" xfId="0" applyFont="1" applyBorder="1" applyAlignment="1">
      <alignment horizontal="center" vertical="center"/>
    </xf>
    <xf numFmtId="0" fontId="33" fillId="0" borderId="2" xfId="0" applyFont="1" applyBorder="1" applyAlignment="1">
      <alignment horizontal="center" vertical="center"/>
    </xf>
    <xf numFmtId="0" fontId="19" fillId="0" borderId="5" xfId="0" applyFont="1" applyBorder="1" applyAlignment="1">
      <alignment horizontal="center" vertical="center"/>
    </xf>
    <xf numFmtId="0" fontId="19" fillId="0" borderId="6" xfId="0" applyFont="1" applyBorder="1" applyAlignment="1">
      <alignment horizontal="left" vertical="center"/>
    </xf>
    <xf numFmtId="0" fontId="19" fillId="0" borderId="1" xfId="0" applyFont="1" applyBorder="1" applyAlignment="1">
      <alignment horizontal="left" vertical="center"/>
    </xf>
    <xf numFmtId="0" fontId="19" fillId="0" borderId="7" xfId="0" applyFont="1" applyBorder="1" applyAlignment="1">
      <alignment horizontal="left" vertical="center"/>
    </xf>
  </cellXfs>
  <cellStyles count="3">
    <cellStyle name="Comma" xfId="1" builtinId="3"/>
    <cellStyle name="Normal" xfId="0" builtinId="0"/>
    <cellStyle name="Percent" xfId="2" builtinId="5"/>
  </cellStyles>
  <dxfs count="722">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dxf>
    <dxf>
      <font>
        <b/>
        <i val="0"/>
        <color rgb="FF9C0006"/>
      </font>
      <fill>
        <patternFill>
          <bgColor rgb="FFFFC7CE"/>
        </patternFill>
      </fill>
      <border>
        <left style="thin">
          <color rgb="FFC00000"/>
        </left>
        <right style="thin">
          <color rgb="FFC00000"/>
        </right>
        <top style="thin">
          <color rgb="FFC00000"/>
        </top>
        <bottom style="thin">
          <color rgb="FFC00000"/>
        </bottom>
      </border>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strike/>
      </font>
    </dxf>
    <dxf>
      <font>
        <strike/>
      </font>
    </dxf>
    <dxf>
      <font>
        <strike/>
      </font>
    </dxf>
    <dxf>
      <font>
        <strike/>
      </font>
    </dxf>
    <dxf>
      <font>
        <strike/>
      </font>
    </dxf>
    <dxf>
      <font>
        <strike/>
      </font>
    </dxf>
    <dxf>
      <font>
        <strike/>
      </font>
    </dxf>
    <dxf>
      <font>
        <strike/>
      </font>
    </dxf>
    <dxf>
      <font>
        <strike/>
      </font>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strike/>
      </font>
    </dxf>
    <dxf>
      <font>
        <color rgb="FF006100"/>
      </font>
      <fill>
        <patternFill>
          <bgColor rgb="FFC6EFCE"/>
        </patternFill>
      </fill>
    </dxf>
    <dxf>
      <font>
        <color rgb="FF006100"/>
      </font>
      <fill>
        <patternFill>
          <bgColor rgb="FFC6EFCE"/>
        </patternFill>
      </fill>
    </dxf>
    <dxf>
      <font>
        <strike/>
      </font>
    </dxf>
    <dxf>
      <font>
        <strike/>
      </font>
    </dxf>
    <dxf>
      <font>
        <strike/>
      </font>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strike/>
      </font>
    </dxf>
    <dxf>
      <font>
        <color rgb="FF006100"/>
      </font>
      <fill>
        <patternFill>
          <bgColor rgb="FFC6EFCE"/>
        </patternFill>
      </fill>
    </dxf>
    <dxf>
      <font>
        <color rgb="FF006100"/>
      </font>
      <fill>
        <patternFill>
          <bgColor rgb="FFC6EFCE"/>
        </patternFill>
      </fill>
    </dxf>
    <dxf>
      <font>
        <strike/>
      </font>
    </dxf>
    <dxf>
      <font>
        <strike/>
      </font>
    </dxf>
    <dxf>
      <font>
        <strike/>
      </font>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strike/>
      </font>
    </dxf>
    <dxf>
      <font>
        <strike/>
      </font>
    </dxf>
    <dxf>
      <font>
        <strike/>
      </font>
    </dxf>
    <dxf>
      <font>
        <color rgb="FF006100"/>
      </font>
      <fill>
        <patternFill>
          <bgColor rgb="FFC6EFCE"/>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strike/>
      </font>
    </dxf>
    <dxf>
      <font>
        <strike/>
      </font>
    </dxf>
    <dxf>
      <font>
        <strike/>
      </font>
    </dxf>
    <dxf>
      <font>
        <color rgb="FF006100"/>
      </font>
      <fill>
        <patternFill>
          <bgColor rgb="FFC6EFCE"/>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strike/>
      </font>
    </dxf>
    <dxf>
      <font>
        <strike/>
      </font>
    </dxf>
    <dxf>
      <font>
        <strike/>
      </font>
    </dxf>
    <dxf>
      <font>
        <color rgb="FF006100"/>
      </font>
      <fill>
        <patternFill>
          <bgColor rgb="FFC6EFCE"/>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strike/>
      </font>
    </dxf>
    <dxf>
      <font>
        <strike/>
      </font>
    </dxf>
    <dxf>
      <font>
        <strike/>
      </font>
    </dxf>
    <dxf>
      <font>
        <color rgb="FF006100"/>
      </font>
      <fill>
        <patternFill>
          <bgColor rgb="FFC6EFCE"/>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strike/>
      </font>
    </dxf>
    <dxf>
      <font>
        <strike/>
      </font>
    </dxf>
    <dxf>
      <font>
        <strike/>
      </font>
    </dxf>
    <dxf>
      <font>
        <color rgb="FF006100"/>
      </font>
      <fill>
        <patternFill>
          <bgColor rgb="FFC6EFCE"/>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strike/>
      </font>
    </dxf>
    <dxf>
      <font>
        <strike/>
      </font>
    </dxf>
    <dxf>
      <font>
        <strike/>
      </font>
    </dxf>
    <dxf>
      <font>
        <color rgb="FF006100"/>
      </font>
      <fill>
        <patternFill>
          <bgColor rgb="FFC6EFCE"/>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strike/>
      </font>
    </dxf>
    <dxf>
      <font>
        <strike/>
      </font>
    </dxf>
    <dxf>
      <font>
        <strike/>
      </font>
    </dxf>
    <dxf>
      <font>
        <color rgb="FF006100"/>
      </font>
      <fill>
        <patternFill>
          <bgColor rgb="FFC6EFCE"/>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strike/>
      </font>
    </dxf>
    <dxf>
      <font>
        <strike/>
      </font>
    </dxf>
    <dxf>
      <font>
        <strike/>
      </font>
    </dxf>
    <dxf>
      <font>
        <color rgb="FF006100"/>
      </font>
      <fill>
        <patternFill>
          <bgColor rgb="FFC6EFCE"/>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strike/>
      </font>
    </dxf>
    <dxf>
      <font>
        <strike/>
      </font>
    </dxf>
    <dxf>
      <font>
        <strike/>
      </font>
    </dxf>
    <dxf>
      <font>
        <color rgb="FF006100"/>
      </font>
      <fill>
        <patternFill>
          <bgColor rgb="FFC6EFCE"/>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dxf>
    <dxf>
      <font>
        <color rgb="FF006100"/>
      </font>
      <fill>
        <patternFill>
          <bgColor rgb="FFC6EFCE"/>
        </patternFill>
      </fill>
    </dxf>
    <dxf>
      <font>
        <b/>
        <i val="0"/>
        <color rgb="FF9C0006"/>
      </font>
      <fill>
        <patternFill>
          <bgColor rgb="FFFFC7CE"/>
        </patternFill>
      </fill>
      <border>
        <left style="thin">
          <color rgb="FFC00000"/>
        </left>
        <right style="thin">
          <color rgb="FFC00000"/>
        </right>
        <top style="thin">
          <color rgb="FFC00000"/>
        </top>
        <bottom style="thin">
          <color rgb="FFC00000"/>
        </bottom>
      </border>
    </dxf>
    <dxf>
      <font>
        <b/>
        <i val="0"/>
        <color rgb="FF9C0006"/>
      </font>
      <fill>
        <patternFill>
          <bgColor rgb="FFFFC7CE"/>
        </patternFill>
      </fill>
      <border>
        <left style="thin">
          <color rgb="FFC00000"/>
        </left>
        <right style="thin">
          <color rgb="FFC00000"/>
        </right>
        <top style="thin">
          <color rgb="FFC00000"/>
        </top>
        <bottom style="thin">
          <color rgb="FFC00000"/>
        </bottom>
      </border>
    </dxf>
    <dxf>
      <font>
        <b/>
        <i val="0"/>
        <color rgb="FF9C0006"/>
      </font>
      <fill>
        <patternFill>
          <bgColor rgb="FFFFC7CE"/>
        </patternFill>
      </fill>
      <border>
        <left style="thin">
          <color rgb="FFC00000"/>
        </left>
        <right style="thin">
          <color rgb="FFC00000"/>
        </right>
        <top style="thin">
          <color rgb="FFC00000"/>
        </top>
        <bottom style="thin">
          <color rgb="FFC00000"/>
        </bottom>
      </border>
    </dxf>
    <dxf>
      <font>
        <strike/>
      </font>
    </dxf>
    <dxf>
      <font>
        <strike/>
      </font>
    </dxf>
    <dxf>
      <font>
        <color rgb="FF006100"/>
      </font>
      <fill>
        <patternFill>
          <bgColor rgb="FFC6EFCE"/>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lor rgb="FF006100"/>
      </font>
      <fill>
        <patternFill>
          <bgColor rgb="FFC6EFCE"/>
        </patternFill>
      </fill>
    </dxf>
    <dxf>
      <font>
        <strike/>
      </font>
    </dxf>
    <dxf>
      <font>
        <color rgb="FF006100"/>
      </font>
      <fill>
        <patternFill>
          <bgColor rgb="FFC6EFCE"/>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lor rgb="FF006100"/>
      </font>
      <fill>
        <patternFill>
          <bgColor rgb="FFC6EFCE"/>
        </patternFill>
      </fill>
    </dxf>
    <dxf>
      <font>
        <strike/>
      </font>
    </dxf>
    <dxf>
      <font>
        <color rgb="FF006100"/>
      </font>
      <fill>
        <patternFill>
          <bgColor rgb="FFC6EFCE"/>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lor rgb="FF006100"/>
      </font>
      <fill>
        <patternFill>
          <bgColor rgb="FFC6EFCE"/>
        </patternFill>
      </fill>
    </dxf>
    <dxf>
      <font>
        <strike/>
      </font>
    </dxf>
    <dxf>
      <font>
        <color rgb="FF006100"/>
      </font>
      <fill>
        <patternFill>
          <bgColor rgb="FFC6EFCE"/>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lor rgb="FF006100"/>
      </font>
      <fill>
        <patternFill>
          <bgColor rgb="FFC6EFCE"/>
        </patternFill>
      </fill>
    </dxf>
    <dxf>
      <font>
        <strike/>
      </font>
    </dxf>
    <dxf>
      <font>
        <color rgb="FF006100"/>
      </font>
      <fill>
        <patternFill>
          <bgColor rgb="FFC6EFCE"/>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lor rgb="FF006100"/>
      </font>
      <fill>
        <patternFill>
          <bgColor rgb="FFC6EFCE"/>
        </patternFill>
      </fill>
    </dxf>
    <dxf>
      <font>
        <strike/>
      </font>
    </dxf>
    <dxf>
      <font>
        <color rgb="FF006100"/>
      </font>
      <fill>
        <patternFill>
          <bgColor rgb="FFC6EFCE"/>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lor rgb="FF006100"/>
      </font>
      <fill>
        <patternFill>
          <bgColor rgb="FFC6EFCE"/>
        </patternFill>
      </fill>
    </dxf>
    <dxf>
      <font>
        <strike/>
      </font>
    </dxf>
    <dxf>
      <font>
        <color rgb="FF006100"/>
      </font>
      <fill>
        <patternFill>
          <bgColor rgb="FFC6EFCE"/>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lor rgb="FF006100"/>
      </font>
      <fill>
        <patternFill>
          <bgColor rgb="FFC6EFCE"/>
        </patternFill>
      </fill>
    </dxf>
    <dxf>
      <font>
        <strike/>
      </font>
    </dxf>
    <dxf>
      <font>
        <color rgb="FF006100"/>
      </font>
      <fill>
        <patternFill>
          <bgColor rgb="FFC6EFCE"/>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lor rgb="FF006100"/>
      </font>
      <fill>
        <patternFill>
          <bgColor rgb="FFC6EFCE"/>
        </patternFill>
      </fill>
    </dxf>
    <dxf>
      <font>
        <strike/>
      </font>
    </dxf>
    <dxf>
      <font>
        <color rgb="FF006100"/>
      </font>
      <fill>
        <patternFill>
          <bgColor rgb="FFC6EFCE"/>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lor rgb="FF006100"/>
      </font>
      <fill>
        <patternFill>
          <bgColor rgb="FFC6EFCE"/>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strike/>
      </font>
    </dxf>
    <dxf>
      <font>
        <strike/>
      </font>
    </dxf>
    <dxf>
      <font>
        <strike/>
      </font>
    </dxf>
    <dxf>
      <font>
        <color rgb="FF006100"/>
      </font>
      <fill>
        <patternFill>
          <bgColor rgb="FFC6EFCE"/>
        </patternFill>
      </fill>
    </dxf>
    <dxf>
      <font>
        <b val="0"/>
        <i val="0"/>
      </font>
    </dxf>
    <dxf>
      <font>
        <color theme="4" tint="-0.24994659260841701"/>
      </font>
      <fill>
        <patternFill>
          <bgColor rgb="FFFFFF99"/>
        </patternFill>
      </fill>
    </dxf>
    <dxf>
      <font>
        <color theme="4" tint="-0.24994659260841701"/>
      </font>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FFFFC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FFFFCC"/>
        </patternFill>
      </fill>
    </dxf>
    <dxf>
      <fill>
        <patternFill>
          <bgColor rgb="FFFFFFCC"/>
        </patternFill>
      </fill>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FFFFCC"/>
        </patternFill>
      </fill>
    </dxf>
    <dxf>
      <fill>
        <patternFill>
          <bgColor rgb="FFFFFFCC"/>
        </patternFill>
      </fill>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FFFFCC"/>
        </patternFill>
      </fill>
    </dxf>
    <dxf>
      <fill>
        <patternFill>
          <bgColor rgb="FFFFFFCC"/>
        </patternFill>
      </fill>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FFFFCC"/>
        </patternFill>
      </fill>
    </dxf>
    <dxf>
      <fill>
        <patternFill>
          <bgColor rgb="FFFFFFCC"/>
        </patternFill>
      </fill>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FFFFCC"/>
        </patternFill>
      </fill>
    </dxf>
    <dxf>
      <fill>
        <patternFill>
          <bgColor rgb="FFFFFFC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FFFFCC"/>
        </patternFill>
      </fill>
    </dxf>
    <dxf>
      <fill>
        <patternFill>
          <bgColor rgb="FFFFFFC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FFFFCC"/>
        </patternFill>
      </fill>
    </dxf>
    <dxf>
      <fill>
        <patternFill>
          <bgColor rgb="FFFFFFCC"/>
        </patternFill>
      </fill>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FFFFCC"/>
        </patternFill>
      </fill>
    </dxf>
    <dxf>
      <fill>
        <patternFill>
          <bgColor rgb="FFFFFFCC"/>
        </patternFill>
      </fill>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FFFFCC"/>
        </patternFill>
      </fill>
    </dxf>
    <dxf>
      <fill>
        <patternFill>
          <bgColor rgb="FFFFFFCC"/>
        </patternFill>
      </fill>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FFFFCC"/>
        </patternFill>
      </fill>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border>
        <left style="thin">
          <color theme="9" tint="-0.24994659260841701"/>
        </left>
        <right style="thin">
          <color theme="9" tint="-0.24994659260841701"/>
        </right>
        <top style="thin">
          <color theme="9" tint="-0.24994659260841701"/>
        </top>
        <bottom style="thin">
          <color theme="9" tint="-0.24994659260841701"/>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rgb="FFFFFFCC"/>
        </patternFill>
      </fill>
    </dxf>
    <dxf>
      <fill>
        <patternFill>
          <bgColor rgb="FFFFFFCC"/>
        </patternFill>
      </fill>
    </dxf>
  </dxfs>
  <tableStyles count="0" defaultTableStyle="TableStyleMedium2" defaultPivotStyle="PivotStyleLight16"/>
  <colors>
    <mruColors>
      <color rgb="FFFFFFCC"/>
      <color rgb="FFFFFF99"/>
      <color rgb="FFFFBDBD"/>
      <color rgb="FFFFD1D1"/>
      <color rgb="FFFFFF66"/>
      <color rgb="FFD6F7FE"/>
      <color rgb="FFDFDDDD"/>
      <color rgb="FFFFF6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139211</xdr:colOff>
      <xdr:row>4</xdr:row>
      <xdr:rowOff>102577</xdr:rowOff>
    </xdr:from>
    <xdr:to>
      <xdr:col>0</xdr:col>
      <xdr:colOff>468923</xdr:colOff>
      <xdr:row>5</xdr:row>
      <xdr:rowOff>153866</xdr:rowOff>
    </xdr:to>
    <xdr:sp macro="" textlink="">
      <xdr:nvSpPr>
        <xdr:cNvPr id="15" name="Down Arrow 14">
          <a:extLst>
            <a:ext uri="{FF2B5EF4-FFF2-40B4-BE49-F238E27FC236}">
              <a16:creationId xmlns:a16="http://schemas.microsoft.com/office/drawing/2014/main" id="{00000000-0008-0000-0100-00000F000000}"/>
            </a:ext>
          </a:extLst>
        </xdr:cNvPr>
        <xdr:cNvSpPr/>
      </xdr:nvSpPr>
      <xdr:spPr>
        <a:xfrm>
          <a:off x="139211" y="969352"/>
          <a:ext cx="329712" cy="29893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271096</xdr:colOff>
      <xdr:row>5</xdr:row>
      <xdr:rowOff>65943</xdr:rowOff>
    </xdr:from>
    <xdr:to>
      <xdr:col>13</xdr:col>
      <xdr:colOff>483577</xdr:colOff>
      <xdr:row>5</xdr:row>
      <xdr:rowOff>249116</xdr:rowOff>
    </xdr:to>
    <xdr:sp macro="" textlink="">
      <xdr:nvSpPr>
        <xdr:cNvPr id="3" name="Down Arrow 2">
          <a:extLst>
            <a:ext uri="{FF2B5EF4-FFF2-40B4-BE49-F238E27FC236}">
              <a16:creationId xmlns:a16="http://schemas.microsoft.com/office/drawing/2014/main" id="{00000000-0008-0000-0100-000003000000}"/>
            </a:ext>
          </a:extLst>
        </xdr:cNvPr>
        <xdr:cNvSpPr/>
      </xdr:nvSpPr>
      <xdr:spPr>
        <a:xfrm>
          <a:off x="9803423" y="1186962"/>
          <a:ext cx="212481" cy="183173"/>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12</xdr:col>
          <xdr:colOff>31750</xdr:colOff>
          <xdr:row>0</xdr:row>
          <xdr:rowOff>12700</xdr:rowOff>
        </xdr:from>
        <xdr:to>
          <xdr:col>12</xdr:col>
          <xdr:colOff>2698750</xdr:colOff>
          <xdr:row>1</xdr:row>
          <xdr:rowOff>127000</xdr:rowOff>
        </xdr:to>
        <xdr:sp macro="" textlink="">
          <xdr:nvSpPr>
            <xdr:cNvPr id="2073" name="KPA_Hide_Inactive"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1</xdr:row>
          <xdr:rowOff>184150</xdr:rowOff>
        </xdr:from>
        <xdr:to>
          <xdr:col>12</xdr:col>
          <xdr:colOff>2698750</xdr:colOff>
          <xdr:row>2</xdr:row>
          <xdr:rowOff>177800</xdr:rowOff>
        </xdr:to>
        <xdr:sp macro="" textlink="">
          <xdr:nvSpPr>
            <xdr:cNvPr id="2074" name="KPA_Show_All"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2</xdr:row>
          <xdr:rowOff>222250</xdr:rowOff>
        </xdr:from>
        <xdr:to>
          <xdr:col>12</xdr:col>
          <xdr:colOff>2711450</xdr:colOff>
          <xdr:row>3</xdr:row>
          <xdr:rowOff>215900</xdr:rowOff>
        </xdr:to>
        <xdr:sp macro="" textlink="">
          <xdr:nvSpPr>
            <xdr:cNvPr id="2075" name="KPA_Print"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923193</xdr:colOff>
      <xdr:row>10</xdr:row>
      <xdr:rowOff>0</xdr:rowOff>
    </xdr:from>
    <xdr:to>
      <xdr:col>12</xdr:col>
      <xdr:colOff>1758462</xdr:colOff>
      <xdr:row>13</xdr:row>
      <xdr:rowOff>7327</xdr:rowOff>
    </xdr:to>
    <xdr:sp macro="" textlink="">
      <xdr:nvSpPr>
        <xdr:cNvPr id="4" name="Down Arrow 3">
          <a:extLst>
            <a:ext uri="{FF2B5EF4-FFF2-40B4-BE49-F238E27FC236}">
              <a16:creationId xmlns:a16="http://schemas.microsoft.com/office/drawing/2014/main" id="{00000000-0008-0000-0100-000004000000}"/>
            </a:ext>
          </a:extLst>
        </xdr:cNvPr>
        <xdr:cNvSpPr/>
      </xdr:nvSpPr>
      <xdr:spPr>
        <a:xfrm>
          <a:off x="7737231" y="2088173"/>
          <a:ext cx="835269" cy="115032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915866</xdr:colOff>
      <xdr:row>17</xdr:row>
      <xdr:rowOff>14655</xdr:rowOff>
    </xdr:from>
    <xdr:to>
      <xdr:col>12</xdr:col>
      <xdr:colOff>1751135</xdr:colOff>
      <xdr:row>19</xdr:row>
      <xdr:rowOff>285751</xdr:rowOff>
    </xdr:to>
    <xdr:sp macro="" textlink="">
      <xdr:nvSpPr>
        <xdr:cNvPr id="21" name="Down Arrow 20">
          <a:extLst>
            <a:ext uri="{FF2B5EF4-FFF2-40B4-BE49-F238E27FC236}">
              <a16:creationId xmlns:a16="http://schemas.microsoft.com/office/drawing/2014/main" id="{00000000-0008-0000-0100-000015000000}"/>
            </a:ext>
          </a:extLst>
        </xdr:cNvPr>
        <xdr:cNvSpPr/>
      </xdr:nvSpPr>
      <xdr:spPr>
        <a:xfrm>
          <a:off x="7729904" y="4256943"/>
          <a:ext cx="835269" cy="115032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31750</xdr:colOff>
          <xdr:row>0</xdr:row>
          <xdr:rowOff>38100</xdr:rowOff>
        </xdr:from>
        <xdr:to>
          <xdr:col>11</xdr:col>
          <xdr:colOff>2698750</xdr:colOff>
          <xdr:row>1</xdr:row>
          <xdr:rowOff>222250</xdr:rowOff>
        </xdr:to>
        <xdr:sp macro="" textlink="">
          <xdr:nvSpPr>
            <xdr:cNvPr id="11267" name="Competencies_Print" hidden="1">
              <a:extLst>
                <a:ext uri="{63B3BB69-23CF-44E3-9099-C40C66FF867C}">
                  <a14:compatExt spid="_x0000_s11267"/>
                </a:ext>
                <a:ext uri="{FF2B5EF4-FFF2-40B4-BE49-F238E27FC236}">
                  <a16:creationId xmlns:a16="http://schemas.microsoft.com/office/drawing/2014/main" id="{00000000-0008-0000-02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849312</xdr:colOff>
      <xdr:row>10</xdr:row>
      <xdr:rowOff>15875</xdr:rowOff>
    </xdr:from>
    <xdr:to>
      <xdr:col>11</xdr:col>
      <xdr:colOff>1684581</xdr:colOff>
      <xdr:row>12</xdr:row>
      <xdr:rowOff>293077</xdr:rowOff>
    </xdr:to>
    <xdr:sp macro="" textlink="">
      <xdr:nvSpPr>
        <xdr:cNvPr id="3" name="Down Arrow 2">
          <a:extLst>
            <a:ext uri="{FF2B5EF4-FFF2-40B4-BE49-F238E27FC236}">
              <a16:creationId xmlns:a16="http://schemas.microsoft.com/office/drawing/2014/main" id="{00000000-0008-0000-0200-000003000000}"/>
            </a:ext>
          </a:extLst>
        </xdr:cNvPr>
        <xdr:cNvSpPr/>
      </xdr:nvSpPr>
      <xdr:spPr>
        <a:xfrm>
          <a:off x="7064375" y="2127250"/>
          <a:ext cx="835269" cy="115032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12700</xdr:colOff>
          <xdr:row>0</xdr:row>
          <xdr:rowOff>0</xdr:rowOff>
        </xdr:from>
        <xdr:to>
          <xdr:col>7</xdr:col>
          <xdr:colOff>2508250</xdr:colOff>
          <xdr:row>1</xdr:row>
          <xdr:rowOff>114300</xdr:rowOff>
        </xdr:to>
        <xdr:sp macro="" textlink="">
          <xdr:nvSpPr>
            <xdr:cNvPr id="9227" name="Plan_Hide_Inactive" hidden="1">
              <a:extLst>
                <a:ext uri="{63B3BB69-23CF-44E3-9099-C40C66FF867C}">
                  <a14:compatExt spid="_x0000_s9227"/>
                </a:ext>
                <a:ext uri="{FF2B5EF4-FFF2-40B4-BE49-F238E27FC236}">
                  <a16:creationId xmlns:a16="http://schemas.microsoft.com/office/drawing/2014/main" id="{00000000-0008-0000-03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xdr:row>
          <xdr:rowOff>165100</xdr:rowOff>
        </xdr:from>
        <xdr:to>
          <xdr:col>7</xdr:col>
          <xdr:colOff>2501900</xdr:colOff>
          <xdr:row>2</xdr:row>
          <xdr:rowOff>158750</xdr:rowOff>
        </xdr:to>
        <xdr:sp macro="" textlink="">
          <xdr:nvSpPr>
            <xdr:cNvPr id="9228" name="Plan_Show_All" hidden="1">
              <a:extLst>
                <a:ext uri="{63B3BB69-23CF-44E3-9099-C40C66FF867C}">
                  <a14:compatExt spid="_x0000_s9228"/>
                </a:ext>
                <a:ext uri="{FF2B5EF4-FFF2-40B4-BE49-F238E27FC236}">
                  <a16:creationId xmlns:a16="http://schemas.microsoft.com/office/drawing/2014/main" id="{00000000-0008-0000-03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xdr:row>
          <xdr:rowOff>222250</xdr:rowOff>
        </xdr:from>
        <xdr:to>
          <xdr:col>7</xdr:col>
          <xdr:colOff>2495550</xdr:colOff>
          <xdr:row>3</xdr:row>
          <xdr:rowOff>215900</xdr:rowOff>
        </xdr:to>
        <xdr:sp macro="" textlink="">
          <xdr:nvSpPr>
            <xdr:cNvPr id="9233" name="Plan_Print" hidden="1">
              <a:extLst>
                <a:ext uri="{63B3BB69-23CF-44E3-9099-C40C66FF867C}">
                  <a14:compatExt spid="_x0000_s9233"/>
                </a:ext>
                <a:ext uri="{FF2B5EF4-FFF2-40B4-BE49-F238E27FC236}">
                  <a16:creationId xmlns:a16="http://schemas.microsoft.com/office/drawing/2014/main" id="{00000000-0008-0000-0300-00001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139211</xdr:colOff>
      <xdr:row>4</xdr:row>
      <xdr:rowOff>102577</xdr:rowOff>
    </xdr:from>
    <xdr:to>
      <xdr:col>0</xdr:col>
      <xdr:colOff>468923</xdr:colOff>
      <xdr:row>5</xdr:row>
      <xdr:rowOff>153866</xdr:rowOff>
    </xdr:to>
    <xdr:sp macro="" textlink="">
      <xdr:nvSpPr>
        <xdr:cNvPr id="2" name="Down Arrow 1">
          <a:extLst>
            <a:ext uri="{FF2B5EF4-FFF2-40B4-BE49-F238E27FC236}">
              <a16:creationId xmlns:a16="http://schemas.microsoft.com/office/drawing/2014/main" id="{00000000-0008-0000-0300-000002000000}"/>
            </a:ext>
          </a:extLst>
        </xdr:cNvPr>
        <xdr:cNvSpPr/>
      </xdr:nvSpPr>
      <xdr:spPr>
        <a:xfrm>
          <a:off x="139211" y="974481"/>
          <a:ext cx="329712" cy="30040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31750</xdr:colOff>
          <xdr:row>0</xdr:row>
          <xdr:rowOff>12700</xdr:rowOff>
        </xdr:from>
        <xdr:to>
          <xdr:col>7</xdr:col>
          <xdr:colOff>2362200</xdr:colOff>
          <xdr:row>1</xdr:row>
          <xdr:rowOff>228600</xdr:rowOff>
        </xdr:to>
        <xdr:sp macro="" textlink="">
          <xdr:nvSpPr>
            <xdr:cNvPr id="14337" name="Summary_Print"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2</xdr:row>
          <xdr:rowOff>12700</xdr:rowOff>
        </xdr:from>
        <xdr:to>
          <xdr:col>7</xdr:col>
          <xdr:colOff>2362200</xdr:colOff>
          <xdr:row>3</xdr:row>
          <xdr:rowOff>76200</xdr:rowOff>
        </xdr:to>
        <xdr:sp macro="" textlink="">
          <xdr:nvSpPr>
            <xdr:cNvPr id="14338" name="Summary_Recalc_Sheet"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 Id="rId9" Type="http://schemas.openxmlformats.org/officeDocument/2006/relationships/image" Target="../media/image7.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9.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8.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C23"/>
  <sheetViews>
    <sheetView zoomScale="140" zoomScaleNormal="140" workbookViewId="0">
      <pane xSplit="1" ySplit="2" topLeftCell="B11" activePane="bottomRight" state="frozen"/>
      <selection pane="topRight" activeCell="B1" sqref="B1"/>
      <selection pane="bottomLeft" activeCell="A3" sqref="A3"/>
      <selection pane="bottomRight" activeCell="B18" sqref="B18"/>
    </sheetView>
  </sheetViews>
  <sheetFormatPr defaultColWidth="40.54296875" defaultRowHeight="25" customHeight="1" x14ac:dyDescent="0.35"/>
  <cols>
    <col min="1" max="1" width="30.54296875" style="247" customWidth="1"/>
    <col min="2" max="2" width="30.54296875" style="251" customWidth="1"/>
    <col min="3" max="3" width="25.54296875" style="246" customWidth="1"/>
    <col min="4" max="7" width="40.54296875" style="11" customWidth="1"/>
    <col min="8" max="16384" width="40.54296875" style="11"/>
  </cols>
  <sheetData>
    <row r="1" spans="1:3" s="247" customFormat="1" ht="25" customHeight="1" x14ac:dyDescent="0.35">
      <c r="A1" s="244" t="s">
        <v>0</v>
      </c>
      <c r="B1" s="245"/>
      <c r="C1" s="246"/>
    </row>
    <row r="2" spans="1:3" s="247" customFormat="1" ht="25" customHeight="1" thickBot="1" x14ac:dyDescent="0.4">
      <c r="A2" s="248" t="s">
        <v>1</v>
      </c>
      <c r="B2" s="249"/>
      <c r="C2" s="250" t="s">
        <v>2</v>
      </c>
    </row>
    <row r="3" spans="1:3" ht="25" customHeight="1" thickTop="1" thickBot="1" x14ac:dyDescent="0.4">
      <c r="B3" s="253"/>
    </row>
    <row r="4" spans="1:3" ht="40" customHeight="1" thickTop="1" thickBot="1" x14ac:dyDescent="0.4">
      <c r="A4" s="252" t="s">
        <v>3</v>
      </c>
      <c r="B4" s="195" t="s">
        <v>4</v>
      </c>
      <c r="C4" s="246" t="s">
        <v>5</v>
      </c>
    </row>
    <row r="5" spans="1:3" ht="10" customHeight="1" thickTop="1" thickBot="1" x14ac:dyDescent="0.4"/>
    <row r="6" spans="1:3" ht="40" customHeight="1" thickTop="1" thickBot="1" x14ac:dyDescent="0.4">
      <c r="A6" s="252" t="s">
        <v>6</v>
      </c>
      <c r="B6" s="195" t="s">
        <v>222</v>
      </c>
    </row>
    <row r="7" spans="1:3" ht="40" customHeight="1" thickTop="1" thickBot="1" x14ac:dyDescent="0.4">
      <c r="A7" s="252" t="s">
        <v>7</v>
      </c>
      <c r="B7" s="195" t="s">
        <v>223</v>
      </c>
    </row>
    <row r="8" spans="1:3" ht="40" customHeight="1" thickTop="1" thickBot="1" x14ac:dyDescent="0.4">
      <c r="A8" s="252" t="s">
        <v>8</v>
      </c>
      <c r="B8" s="195" t="s">
        <v>224</v>
      </c>
    </row>
    <row r="9" spans="1:3" ht="40" customHeight="1" thickTop="1" thickBot="1" x14ac:dyDescent="0.4">
      <c r="A9" s="252" t="s">
        <v>9</v>
      </c>
      <c r="B9" s="195" t="s">
        <v>255</v>
      </c>
    </row>
    <row r="10" spans="1:3" ht="40" customHeight="1" thickTop="1" thickBot="1" x14ac:dyDescent="0.4">
      <c r="A10" s="252" t="s">
        <v>10</v>
      </c>
      <c r="B10" s="195" t="s">
        <v>225</v>
      </c>
    </row>
    <row r="11" spans="1:3" ht="40" customHeight="1" thickTop="1" thickBot="1" x14ac:dyDescent="0.4">
      <c r="A11" s="252" t="s">
        <v>11</v>
      </c>
      <c r="B11" s="195" t="s">
        <v>226</v>
      </c>
    </row>
    <row r="12" spans="1:3" ht="40" customHeight="1" thickTop="1" thickBot="1" x14ac:dyDescent="0.4">
      <c r="A12" s="252" t="s">
        <v>12</v>
      </c>
      <c r="B12" s="196">
        <v>44621</v>
      </c>
    </row>
    <row r="13" spans="1:3" ht="10" customHeight="1" thickTop="1" thickBot="1" x14ac:dyDescent="0.4"/>
    <row r="14" spans="1:3" ht="40" customHeight="1" thickTop="1" thickBot="1" x14ac:dyDescent="0.4">
      <c r="A14" s="252" t="s">
        <v>13</v>
      </c>
      <c r="B14" s="197">
        <v>45246</v>
      </c>
    </row>
    <row r="15" spans="1:3" ht="40" customHeight="1" thickTop="1" thickBot="1" x14ac:dyDescent="0.4">
      <c r="A15" s="252" t="s">
        <v>14</v>
      </c>
      <c r="B15" s="197" t="s">
        <v>15</v>
      </c>
      <c r="C15" s="246" t="s">
        <v>5</v>
      </c>
    </row>
    <row r="16" spans="1:3" ht="40" customHeight="1" x14ac:dyDescent="0.35">
      <c r="A16" s="252" t="s">
        <v>16</v>
      </c>
      <c r="B16" s="197">
        <v>45291</v>
      </c>
      <c r="C16" s="246" t="s">
        <v>17</v>
      </c>
    </row>
    <row r="17" spans="1:2" ht="40" customHeight="1" thickTop="1" thickBot="1" x14ac:dyDescent="0.4">
      <c r="A17" s="252" t="s">
        <v>18</v>
      </c>
      <c r="B17" s="197">
        <v>45248</v>
      </c>
    </row>
    <row r="18" spans="1:2" ht="40" customHeight="1" thickTop="1" thickBot="1" x14ac:dyDescent="0.4">
      <c r="A18" s="252" t="s">
        <v>19</v>
      </c>
      <c r="B18" s="198" t="s">
        <v>256</v>
      </c>
    </row>
    <row r="19" spans="1:2" ht="10" customHeight="1" thickTop="1" thickBot="1" x14ac:dyDescent="0.4"/>
    <row r="20" spans="1:2" ht="40" customHeight="1" thickTop="1" thickBot="1" x14ac:dyDescent="0.4">
      <c r="A20" s="252" t="s">
        <v>20</v>
      </c>
      <c r="B20" s="195" t="s">
        <v>227</v>
      </c>
    </row>
    <row r="21" spans="1:2" ht="40" customHeight="1" thickTop="1" thickBot="1" x14ac:dyDescent="0.4">
      <c r="A21" s="252" t="s">
        <v>21</v>
      </c>
      <c r="B21" s="195" t="s">
        <v>228</v>
      </c>
    </row>
    <row r="22" spans="1:2" ht="40" customHeight="1" thickTop="1" thickBot="1" x14ac:dyDescent="0.4">
      <c r="A22" s="252" t="s">
        <v>22</v>
      </c>
      <c r="B22" s="195" t="s">
        <v>229</v>
      </c>
    </row>
    <row r="23" spans="1:2" ht="25" customHeight="1" thickTop="1" x14ac:dyDescent="0.35"/>
  </sheetData>
  <sheetProtection algorithmName="SHA-512" hashValue="FXxV5pYVkicMhNmpAI95CXPzy+rSNwNXJ5qVK94R0ObKi/N2GCnAL/I+xaZz5Qwg2Q2Q4uKwf0J/Gt0n09byOw==" saltValue="x8ruzteuW5+KNTIhr8PjIw==" spinCount="100000" sheet="1" objects="1" scenarios="1" selectLockedCells="1"/>
  <printOptions horizontalCentered="1"/>
  <pageMargins left="0.59055118110236227" right="0.59055118110236227" top="0.59055118110236227" bottom="0.59055118110236227" header="0.19685039370078741" footer="0.19685039370078741"/>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0000000}">
          <x14:formula1>
            <xm:f>'Factor Lookup'!$A$6:$A$10</xm:f>
          </x14:formula1>
          <xm:sqref>B4</xm:sqref>
        </x14:dataValidation>
        <x14:dataValidation type="list" allowBlank="1" showInputMessage="1" showErrorMessage="1" xr:uid="{00000000-0002-0000-0000-000001000000}">
          <x14:formula1>
            <xm:f>'Factor Lookup'!$A$14:$A$16</xm:f>
          </x14:formula1>
          <xm:sqref>B15</xm:sqref>
        </x14:dataValidation>
        <x14:dataValidation type="list" allowBlank="1" showInputMessage="1" showErrorMessage="1" xr:uid="{00000000-0002-0000-0000-000002000000}">
          <x14:formula1>
            <xm:f>'Factor Lookup'!$A$20:$A$29</xm:f>
          </x14:formula1>
          <xm:sqref>B16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N139"/>
  <sheetViews>
    <sheetView zoomScale="130" zoomScaleNormal="130" workbookViewId="0">
      <pane xSplit="2" ySplit="7" topLeftCell="C40" activePane="bottomRight" state="frozen"/>
      <selection pane="topRight" activeCell="C1" sqref="C1"/>
      <selection pane="bottomLeft" activeCell="A8" sqref="A8"/>
      <selection pane="bottomRight" activeCell="J66" sqref="J66"/>
    </sheetView>
  </sheetViews>
  <sheetFormatPr defaultColWidth="37.54296875" defaultRowHeight="25" customHeight="1" x14ac:dyDescent="0.35"/>
  <cols>
    <col min="1" max="1" width="8.54296875" style="24" customWidth="1"/>
    <col min="2" max="2" width="1.54296875" style="24" customWidth="1"/>
    <col min="3" max="3" width="2.54296875" style="2" customWidth="1"/>
    <col min="4" max="4" width="51.54296875" style="2" customWidth="1"/>
    <col min="5" max="9" width="15.54296875" style="2" hidden="1" customWidth="1"/>
    <col min="10" max="10" width="12.54296875" style="2" customWidth="1"/>
    <col min="11" max="11" width="22.54296875" style="2" customWidth="1"/>
    <col min="12" max="12" width="1.54296875" style="24" customWidth="1"/>
    <col min="13" max="13" width="40.54296875" style="2" customWidth="1"/>
    <col min="14" max="14" width="10.54296875" style="2" customWidth="1"/>
    <col min="15" max="16384" width="37.54296875" style="2"/>
  </cols>
  <sheetData>
    <row r="1" spans="1:14" ht="10" customHeight="1" thickTop="1" x14ac:dyDescent="0.35">
      <c r="A1" s="273" t="s">
        <v>23</v>
      </c>
      <c r="B1" s="175"/>
      <c r="C1" s="177"/>
      <c r="D1" s="177"/>
      <c r="E1" s="177"/>
      <c r="F1" s="177"/>
      <c r="G1" s="177"/>
      <c r="H1" s="177"/>
      <c r="I1" s="177"/>
      <c r="J1" s="177"/>
      <c r="K1" s="177"/>
      <c r="L1" s="175"/>
    </row>
    <row r="2" spans="1:14" ht="20.149999999999999" customHeight="1" x14ac:dyDescent="0.35">
      <c r="A2" s="274"/>
      <c r="B2" s="175"/>
      <c r="C2" s="1" t="s">
        <v>0</v>
      </c>
      <c r="J2" s="3" t="s">
        <v>24</v>
      </c>
      <c r="K2" s="189">
        <f>Setup!B14</f>
        <v>45246</v>
      </c>
      <c r="L2" s="175"/>
    </row>
    <row r="3" spans="1:14" ht="20.149999999999999" customHeight="1" x14ac:dyDescent="0.35">
      <c r="A3" s="274"/>
      <c r="B3" s="174"/>
      <c r="C3" s="1" t="s">
        <v>25</v>
      </c>
      <c r="E3" s="4" t="s">
        <v>26</v>
      </c>
      <c r="F3" s="4" t="s">
        <v>26</v>
      </c>
      <c r="G3" s="4" t="s">
        <v>26</v>
      </c>
      <c r="H3" s="4" t="s">
        <v>26</v>
      </c>
      <c r="I3" s="4" t="s">
        <v>26</v>
      </c>
      <c r="J3" s="3" t="s">
        <v>27</v>
      </c>
      <c r="K3" s="190" t="str">
        <f>Setup!B7</f>
        <v>Parker</v>
      </c>
      <c r="L3" s="174"/>
    </row>
    <row r="4" spans="1:14" ht="20.149999999999999" customHeight="1" thickBot="1" x14ac:dyDescent="0.4">
      <c r="A4" s="274"/>
      <c r="B4" s="174"/>
      <c r="C4" s="188" t="str">
        <f>"Division / Syndicate -  "&amp;Setup!B6&amp;" | Department -  "&amp;Setup!B10</f>
        <v>Division / Syndicate -  Wits RHI | Department -  Climate and Health</v>
      </c>
      <c r="D4" s="167"/>
      <c r="J4" s="3" t="s">
        <v>28</v>
      </c>
      <c r="K4" s="191" t="str">
        <f>Setup!B8</f>
        <v>Craig</v>
      </c>
      <c r="L4" s="174"/>
    </row>
    <row r="5" spans="1:14" ht="20.149999999999999" customHeight="1" thickTop="1" x14ac:dyDescent="0.35">
      <c r="A5" s="274"/>
      <c r="B5" s="174"/>
      <c r="C5" s="188" t="str">
        <f>"Employee Review Category -  "&amp;Setup!B4</f>
        <v>Employee Review Category -  Professional / Skilled</v>
      </c>
      <c r="D5" s="167"/>
      <c r="J5" s="3" t="s">
        <v>29</v>
      </c>
      <c r="K5" s="191" t="str">
        <f>Setup!B9</f>
        <v>B0158</v>
      </c>
      <c r="L5" s="174"/>
      <c r="M5" s="276" t="s">
        <v>30</v>
      </c>
      <c r="N5" s="278" t="s">
        <v>31</v>
      </c>
    </row>
    <row r="6" spans="1:14" ht="22" customHeight="1" thickBot="1" x14ac:dyDescent="0.4">
      <c r="A6" s="275"/>
      <c r="B6" s="174"/>
      <c r="C6" s="188" t="str">
        <f>"Review Type - "&amp;Setup!B15</f>
        <v>Review Type - FINAL</v>
      </c>
      <c r="D6" s="167"/>
      <c r="J6" s="3" t="s">
        <v>32</v>
      </c>
      <c r="K6" s="189">
        <f>Setup!B16</f>
        <v>45291</v>
      </c>
      <c r="L6" s="174"/>
      <c r="M6" s="277"/>
      <c r="N6" s="279"/>
    </row>
    <row r="7" spans="1:14" ht="5.15" customHeight="1" thickTop="1" thickBot="1" x14ac:dyDescent="0.4">
      <c r="B7" s="174"/>
      <c r="C7" s="6"/>
      <c r="D7" s="7"/>
      <c r="E7" s="7"/>
      <c r="F7" s="7"/>
      <c r="G7" s="7"/>
      <c r="H7" s="7"/>
      <c r="I7" s="7"/>
      <c r="J7" s="8"/>
      <c r="K7" s="6"/>
      <c r="L7" s="174"/>
    </row>
    <row r="8" spans="1:14" ht="10" customHeight="1" thickTop="1" thickBot="1" x14ac:dyDescent="0.4">
      <c r="B8" s="175"/>
      <c r="C8" s="226"/>
      <c r="J8" s="3"/>
      <c r="K8" s="9"/>
      <c r="L8" s="175"/>
    </row>
    <row r="9" spans="1:14" ht="25" customHeight="1" thickTop="1" thickBot="1" x14ac:dyDescent="0.4">
      <c r="B9" s="176"/>
      <c r="C9" s="179" t="s">
        <v>33</v>
      </c>
      <c r="D9" s="180"/>
      <c r="E9" s="181"/>
      <c r="F9" s="182"/>
      <c r="G9" s="181"/>
      <c r="H9" s="181"/>
      <c r="I9" s="181"/>
      <c r="J9" s="181"/>
      <c r="K9" s="183" t="s">
        <v>34</v>
      </c>
      <c r="L9" s="176"/>
    </row>
    <row r="10" spans="1:14" s="11" customFormat="1" ht="15" customHeight="1" thickTop="1" x14ac:dyDescent="0.35">
      <c r="B10" s="176"/>
      <c r="C10" s="184" t="s">
        <v>35</v>
      </c>
      <c r="D10" s="185"/>
      <c r="E10" s="185"/>
      <c r="F10" s="185"/>
      <c r="G10" s="185"/>
      <c r="H10" s="185"/>
      <c r="I10" s="185"/>
      <c r="J10" s="185"/>
      <c r="K10" s="186"/>
      <c r="L10" s="176"/>
    </row>
    <row r="11" spans="1:14" s="11" customFormat="1" ht="30" customHeight="1" x14ac:dyDescent="0.35">
      <c r="B11" s="176"/>
      <c r="C11" s="282" t="str">
        <f>'Factor Lookup'!A35&amp;" - "&amp;'Factor Lookup'!C35</f>
        <v>ANCILLARY - KPA not necessary for successful achievement of overall objectives but included as it requires the attention of the employee</v>
      </c>
      <c r="D11" s="283"/>
      <c r="E11" s="283"/>
      <c r="F11" s="283"/>
      <c r="G11" s="283"/>
      <c r="H11" s="283"/>
      <c r="I11" s="283"/>
      <c r="J11" s="283"/>
      <c r="K11" s="284"/>
      <c r="L11" s="176"/>
    </row>
    <row r="12" spans="1:14" s="11" customFormat="1" ht="30" customHeight="1" x14ac:dyDescent="0.35">
      <c r="B12" s="176"/>
      <c r="C12" s="282" t="str">
        <f>'Factor Lookup'!A36&amp;" - "&amp;'Factor Lookup'!C36</f>
        <v>NECESSARY - KPA not essential for performance of overall responsibilities on its own but if not given attention complicates the achievement of overall objectives</v>
      </c>
      <c r="D12" s="283"/>
      <c r="E12" s="283"/>
      <c r="F12" s="283"/>
      <c r="G12" s="283"/>
      <c r="H12" s="283"/>
      <c r="I12" s="283"/>
      <c r="J12" s="283"/>
      <c r="K12" s="284"/>
      <c r="L12" s="176"/>
    </row>
    <row r="13" spans="1:14" s="11" customFormat="1" ht="30" customHeight="1" x14ac:dyDescent="0.35">
      <c r="B13" s="176"/>
      <c r="C13" s="282" t="str">
        <f>'Factor Lookup'!A37&amp;" - "&amp;'Factor Lookup'!C37</f>
        <v>IMPORTANT - KPA contributes to the successful achievement of overall objectives</v>
      </c>
      <c r="D13" s="283"/>
      <c r="E13" s="283"/>
      <c r="F13" s="283"/>
      <c r="G13" s="283"/>
      <c r="H13" s="283"/>
      <c r="I13" s="283"/>
      <c r="J13" s="283"/>
      <c r="K13" s="284"/>
      <c r="L13" s="176"/>
    </row>
    <row r="14" spans="1:14" s="11" customFormat="1" ht="30" customHeight="1" thickBot="1" x14ac:dyDescent="0.4">
      <c r="B14" s="176"/>
      <c r="C14" s="285" t="str">
        <f>'Factor Lookup'!A38&amp;" - "&amp;'Factor Lookup'!C38</f>
        <v>CRITICAL - KPA is the most important contributor to achievement of overall objectives and requires significant attention by the employee</v>
      </c>
      <c r="D14" s="286"/>
      <c r="E14" s="286"/>
      <c r="F14" s="286"/>
      <c r="G14" s="286"/>
      <c r="H14" s="286"/>
      <c r="I14" s="286"/>
      <c r="J14" s="286"/>
      <c r="K14" s="287"/>
      <c r="L14" s="176"/>
    </row>
    <row r="15" spans="1:14" s="10" customFormat="1" ht="10" customHeight="1" thickTop="1" thickBot="1" x14ac:dyDescent="0.4">
      <c r="B15" s="176"/>
      <c r="L15" s="176"/>
    </row>
    <row r="16" spans="1:14" ht="25" customHeight="1" thickTop="1" thickBot="1" x14ac:dyDescent="0.4">
      <c r="B16" s="176"/>
      <c r="C16" s="179" t="s">
        <v>36</v>
      </c>
      <c r="D16" s="180"/>
      <c r="E16" s="181"/>
      <c r="F16" s="182"/>
      <c r="G16" s="181"/>
      <c r="H16" s="181"/>
      <c r="I16" s="181"/>
      <c r="J16" s="181"/>
      <c r="K16" s="183" t="s">
        <v>34</v>
      </c>
      <c r="L16" s="176"/>
    </row>
    <row r="17" spans="1:14" s="11" customFormat="1" ht="15" customHeight="1" thickTop="1" x14ac:dyDescent="0.35">
      <c r="B17" s="176"/>
      <c r="C17" s="184" t="s">
        <v>37</v>
      </c>
      <c r="D17" s="185"/>
      <c r="E17" s="185"/>
      <c r="F17" s="185"/>
      <c r="G17" s="185"/>
      <c r="H17" s="185"/>
      <c r="I17" s="185"/>
      <c r="J17" s="185"/>
      <c r="K17" s="186"/>
      <c r="L17" s="176"/>
    </row>
    <row r="18" spans="1:14" s="11" customFormat="1" ht="35.15" customHeight="1" x14ac:dyDescent="0.35">
      <c r="B18" s="176"/>
      <c r="C18" s="282" t="str">
        <f>'Factor Lookup'!A44&amp;" - "&amp;'Factor Lookup'!C44</f>
        <v>Requires Attention - Employee performance does not always meet required standards or expectations. Some necessary competencies and knowledge are demonstrated, but employee frequently requires guidance and supervision. Individual may be newly appointed and requires time to develop into the position.</v>
      </c>
      <c r="D18" s="283"/>
      <c r="E18" s="283"/>
      <c r="F18" s="283"/>
      <c r="G18" s="283"/>
      <c r="H18" s="283"/>
      <c r="I18" s="283"/>
      <c r="J18" s="283"/>
      <c r="K18" s="284"/>
      <c r="L18" s="176"/>
    </row>
    <row r="19" spans="1:14" s="11" customFormat="1" ht="35.15" customHeight="1" x14ac:dyDescent="0.35">
      <c r="B19" s="176"/>
      <c r="C19" s="282" t="str">
        <f>'Factor Lookup'!A45&amp;" - "&amp;'Factor Lookup'!C45</f>
        <v>Meets Requirement - Employee meets requirements and expectations. Requisite job competencies and knowledge are at an acceptable level. Employee performs assigned responsibilities consistently well.</v>
      </c>
      <c r="D19" s="283"/>
      <c r="E19" s="283"/>
      <c r="F19" s="283"/>
      <c r="G19" s="283"/>
      <c r="H19" s="283"/>
      <c r="I19" s="283"/>
      <c r="J19" s="283"/>
      <c r="K19" s="284"/>
      <c r="L19" s="176"/>
    </row>
    <row r="20" spans="1:14" s="11" customFormat="1" ht="35.15" customHeight="1" x14ac:dyDescent="0.35">
      <c r="B20" s="176"/>
      <c r="C20" s="282" t="str">
        <f>'Factor Lookup'!A46&amp;" - "&amp;'Factor Lookup'!C46</f>
        <v>Exceeds Requirement - Consistently meets and often exceeds all relevant performance standards. Shows initiative and versatility, works collaboratively, shows high degree of skill and knowledge in these areas</v>
      </c>
      <c r="D20" s="283"/>
      <c r="E20" s="283"/>
      <c r="F20" s="283"/>
      <c r="G20" s="283"/>
      <c r="H20" s="283"/>
      <c r="I20" s="283"/>
      <c r="J20" s="283"/>
      <c r="K20" s="284"/>
      <c r="L20" s="176"/>
    </row>
    <row r="21" spans="1:14" s="11" customFormat="1" ht="35.15" customHeight="1" thickBot="1" x14ac:dyDescent="0.4">
      <c r="B21" s="176"/>
      <c r="C21" s="285" t="str">
        <f>'Factor Lookup'!A47&amp;" - "&amp;'Factor Lookup'!C47</f>
        <v>Strength - Performance far exceeds all standards and expectations. Performance consistently results in the best possible attainment and demonstrates an extraordinary level of skill.</v>
      </c>
      <c r="D21" s="286"/>
      <c r="E21" s="286"/>
      <c r="F21" s="286"/>
      <c r="G21" s="286"/>
      <c r="H21" s="286"/>
      <c r="I21" s="286"/>
      <c r="J21" s="286"/>
      <c r="K21" s="287"/>
      <c r="L21" s="176"/>
    </row>
    <row r="22" spans="1:14" s="10" customFormat="1" ht="15" customHeight="1" thickTop="1" x14ac:dyDescent="0.35">
      <c r="B22" s="176"/>
      <c r="L22" s="176"/>
    </row>
    <row r="23" spans="1:14" ht="5.15" customHeight="1" thickBot="1" x14ac:dyDescent="0.4">
      <c r="B23" s="176"/>
      <c r="C23" s="9"/>
      <c r="J23" s="3"/>
      <c r="K23" s="9"/>
      <c r="L23" s="176"/>
    </row>
    <row r="24" spans="1:14" ht="25" customHeight="1" thickTop="1" thickBot="1" x14ac:dyDescent="0.4">
      <c r="B24" s="176"/>
      <c r="C24" s="12" t="s">
        <v>38</v>
      </c>
      <c r="D24" s="13"/>
      <c r="E24" s="13"/>
      <c r="F24" s="13"/>
      <c r="G24" s="13"/>
      <c r="H24" s="13"/>
      <c r="I24" s="13"/>
      <c r="J24" s="13"/>
      <c r="K24" s="14"/>
      <c r="L24" s="176"/>
    </row>
    <row r="25" spans="1:14" ht="15" customHeight="1" thickTop="1" thickBot="1" x14ac:dyDescent="0.4">
      <c r="B25" s="176"/>
      <c r="C25" s="9"/>
      <c r="K25" s="15"/>
      <c r="L25" s="176"/>
    </row>
    <row r="26" spans="1:14" s="18" customFormat="1" ht="30" customHeight="1" thickTop="1" thickBot="1" x14ac:dyDescent="0.4">
      <c r="A26" s="194" t="s">
        <v>39</v>
      </c>
      <c r="B26" s="176"/>
      <c r="C26" s="16" t="s">
        <v>40</v>
      </c>
      <c r="D26" s="207" t="s">
        <v>237</v>
      </c>
      <c r="E26" s="220"/>
      <c r="F26" s="220"/>
      <c r="G26" s="221">
        <f>IF(I26=0,0,IF(COUNT(E27:E36)&lt;&gt;COUNT(F27:F36),0,IF(COUNT(F26:F36)=0,0,IF(I26=0,0,SUM(F26:F36)/COUNT(F26:F36)))))</f>
        <v>2.128571428571429</v>
      </c>
      <c r="H26" s="221">
        <f>IF(COUNT(E27:E36)&lt;&gt;COUNT(F27:F36),0,IF(AND(I26&gt;0,COUNT(F27:F36)=0),0,IF(I$137=0,0,IF(I26=0,0,(SUM(F27:F36)/COUNT(F27:F36))*I26/I$137))))</f>
        <v>0.53214285714285725</v>
      </c>
      <c r="I26" s="222">
        <f>VLOOKUP(J26,'Factor Lookup'!$A$34:$B$38,2,)</f>
        <v>7</v>
      </c>
      <c r="J26" s="227" t="s">
        <v>124</v>
      </c>
      <c r="K26" s="17" t="str">
        <f>IF(OR(G26=0,H26=0),"Not Rated",IF(G26&lt;'Factor Lookup'!$A$53,'Factor Lookup'!$C$52,IF(AND(G26&gt;'Factor Lookup'!$B$52,G26&lt;'Factor Lookup'!$A$54),'Factor Lookup'!$C$53,'Factor Lookup'!$C$54)))</f>
        <v>Meets Expectation</v>
      </c>
      <c r="L26" s="176"/>
      <c r="M26" s="236" t="str">
        <f>IF(OR(J27="Requires Attention",J28="Requires Attention",J29="Requires Attention",J30="Requires Attention",J31="Requires Attention",J32="Requires Attention",J33="Requires Attention",J34="Requires Attention",J35="Requires Attention"),"Corrective Action","")</f>
        <v/>
      </c>
      <c r="N26" s="240" t="s">
        <v>43</v>
      </c>
    </row>
    <row r="27" spans="1:14" s="50" customFormat="1" ht="27" thickTop="1" thickBot="1" x14ac:dyDescent="0.4">
      <c r="A27" s="194" t="s">
        <v>39</v>
      </c>
      <c r="B27" s="176"/>
      <c r="C27" s="223">
        <v>1</v>
      </c>
      <c r="D27" s="266" t="s">
        <v>230</v>
      </c>
      <c r="E27" s="229">
        <f t="shared" ref="E27:E35" si="0">IF(D27="","",1)</f>
        <v>1</v>
      </c>
      <c r="F27" s="229">
        <f>IF(J27='Factor Lookup'!$A$43,"",VLOOKUP(J27,'Factor Lookup'!$A$43:$B$47,2,))</f>
        <v>2.2999999999999998</v>
      </c>
      <c r="G27" s="229"/>
      <c r="H27" s="230"/>
      <c r="I27" s="229"/>
      <c r="J27" s="234" t="s">
        <v>134</v>
      </c>
      <c r="K27" s="224"/>
      <c r="L27" s="176"/>
      <c r="M27" s="237"/>
      <c r="N27" s="240" t="s">
        <v>43</v>
      </c>
    </row>
    <row r="28" spans="1:14" s="50" customFormat="1" ht="40" thickTop="1" thickBot="1" x14ac:dyDescent="0.4">
      <c r="A28" s="194" t="s">
        <v>39</v>
      </c>
      <c r="B28" s="176"/>
      <c r="C28" s="225">
        <v>2</v>
      </c>
      <c r="D28" s="267" t="s">
        <v>231</v>
      </c>
      <c r="E28" s="232">
        <f>IF(D28="","",1)</f>
        <v>1</v>
      </c>
      <c r="F28" s="232">
        <f>IF(J28='Factor Lookup'!$A$43,"",VLOOKUP(J28,'Factor Lookup'!$A$43:$B$47,2,))</f>
        <v>2</v>
      </c>
      <c r="G28" s="232"/>
      <c r="H28" s="233"/>
      <c r="I28" s="232"/>
      <c r="J28" s="235" t="s">
        <v>132</v>
      </c>
      <c r="K28" s="224"/>
      <c r="L28" s="176"/>
      <c r="M28" s="238"/>
      <c r="N28" s="240" t="s">
        <v>43</v>
      </c>
    </row>
    <row r="29" spans="1:14" s="50" customFormat="1" ht="27" thickTop="1" thickBot="1" x14ac:dyDescent="0.4">
      <c r="A29" s="194" t="s">
        <v>39</v>
      </c>
      <c r="B29" s="176"/>
      <c r="C29" s="225">
        <v>3</v>
      </c>
      <c r="D29" s="266" t="s">
        <v>232</v>
      </c>
      <c r="E29" s="232">
        <f t="shared" si="0"/>
        <v>1</v>
      </c>
      <c r="F29" s="232">
        <f>IF(J29='Factor Lookup'!$A$43,"",VLOOKUP(J29,'Factor Lookup'!$A$43:$B$47,2,))</f>
        <v>2</v>
      </c>
      <c r="G29" s="232"/>
      <c r="H29" s="233"/>
      <c r="I29" s="232"/>
      <c r="J29" s="235" t="s">
        <v>132</v>
      </c>
      <c r="K29" s="224"/>
      <c r="L29" s="176"/>
      <c r="M29" s="238"/>
      <c r="N29" s="240" t="s">
        <v>43</v>
      </c>
    </row>
    <row r="30" spans="1:14" s="50" customFormat="1" ht="27" thickTop="1" thickBot="1" x14ac:dyDescent="0.4">
      <c r="A30" s="194" t="s">
        <v>39</v>
      </c>
      <c r="B30" s="176"/>
      <c r="C30" s="225">
        <v>4</v>
      </c>
      <c r="D30" s="268" t="s">
        <v>233</v>
      </c>
      <c r="E30" s="232">
        <f>IF(D30="","",1)</f>
        <v>1</v>
      </c>
      <c r="F30" s="232">
        <f>IF(J30='Factor Lookup'!$A$43,"",VLOOKUP(J30,'Factor Lookup'!$A$43:$B$47,2,))</f>
        <v>2</v>
      </c>
      <c r="G30" s="232"/>
      <c r="H30" s="233"/>
      <c r="I30" s="232"/>
      <c r="J30" s="235" t="s">
        <v>132</v>
      </c>
      <c r="K30" s="224"/>
      <c r="L30" s="176"/>
      <c r="M30" s="238"/>
      <c r="N30" s="240" t="s">
        <v>43</v>
      </c>
    </row>
    <row r="31" spans="1:14" s="50" customFormat="1" ht="27" thickTop="1" thickBot="1" x14ac:dyDescent="0.4">
      <c r="A31" s="194" t="s">
        <v>39</v>
      </c>
      <c r="B31" s="176"/>
      <c r="C31" s="225">
        <v>5</v>
      </c>
      <c r="D31" s="269" t="s">
        <v>234</v>
      </c>
      <c r="E31" s="232">
        <f>IF(D31="","",1)</f>
        <v>1</v>
      </c>
      <c r="F31" s="232">
        <f>IF(J31='Factor Lookup'!$A$43,"",VLOOKUP(J31,'Factor Lookup'!$A$43:$B$47,2,))</f>
        <v>2.2999999999999998</v>
      </c>
      <c r="G31" s="232"/>
      <c r="H31" s="233"/>
      <c r="I31" s="232"/>
      <c r="J31" s="235" t="s">
        <v>134</v>
      </c>
      <c r="K31" s="224"/>
      <c r="L31" s="176"/>
      <c r="M31" s="238"/>
      <c r="N31" s="240" t="s">
        <v>43</v>
      </c>
    </row>
    <row r="32" spans="1:14" s="50" customFormat="1" ht="27" thickTop="1" thickBot="1" x14ac:dyDescent="0.4">
      <c r="A32" s="194" t="s">
        <v>39</v>
      </c>
      <c r="B32" s="176"/>
      <c r="C32" s="225">
        <v>6</v>
      </c>
      <c r="D32" s="270" t="s">
        <v>235</v>
      </c>
      <c r="E32" s="232">
        <f>IF(D32="","",1)</f>
        <v>1</v>
      </c>
      <c r="F32" s="232">
        <f>IF(J32='Factor Lookup'!$A$43,"",VLOOKUP(J32,'Factor Lookup'!$A$43:$B$47,2,))</f>
        <v>2.2999999999999998</v>
      </c>
      <c r="G32" s="232"/>
      <c r="H32" s="233"/>
      <c r="I32" s="232"/>
      <c r="J32" s="235" t="s">
        <v>134</v>
      </c>
      <c r="K32" s="224"/>
      <c r="L32" s="176"/>
      <c r="M32" s="238"/>
      <c r="N32" s="240" t="s">
        <v>43</v>
      </c>
    </row>
    <row r="33" spans="1:14" s="50" customFormat="1" ht="40" thickTop="1" thickBot="1" x14ac:dyDescent="0.4">
      <c r="A33" s="194" t="s">
        <v>39</v>
      </c>
      <c r="B33" s="176"/>
      <c r="C33" s="225">
        <v>7</v>
      </c>
      <c r="D33" s="271" t="s">
        <v>236</v>
      </c>
      <c r="E33" s="232">
        <f>IF(D33="","",1)</f>
        <v>1</v>
      </c>
      <c r="F33" s="232">
        <f>IF(J33='Factor Lookup'!$A$43,"",VLOOKUP(J33,'Factor Lookup'!$A$43:$B$47,2,))</f>
        <v>2</v>
      </c>
      <c r="G33" s="232"/>
      <c r="H33" s="233"/>
      <c r="I33" s="232"/>
      <c r="J33" s="235" t="s">
        <v>132</v>
      </c>
      <c r="K33" s="224"/>
      <c r="L33" s="176"/>
      <c r="M33" s="238"/>
      <c r="N33" s="240" t="s">
        <v>43</v>
      </c>
    </row>
    <row r="34" spans="1:14" s="50" customFormat="1" ht="25" customHeight="1" thickTop="1" thickBot="1" x14ac:dyDescent="0.4">
      <c r="A34" s="194" t="s">
        <v>45</v>
      </c>
      <c r="B34" s="176"/>
      <c r="C34" s="225">
        <v>8</v>
      </c>
      <c r="D34" s="231"/>
      <c r="E34" s="232" t="str">
        <f t="shared" si="0"/>
        <v/>
      </c>
      <c r="F34" s="232" t="str">
        <f>IF(J34='Factor Lookup'!$A$43,"",VLOOKUP(J34,'Factor Lookup'!$A$43:$B$47,2,))</f>
        <v/>
      </c>
      <c r="G34" s="232"/>
      <c r="H34" s="233"/>
      <c r="I34" s="232"/>
      <c r="J34" s="235" t="s">
        <v>44</v>
      </c>
      <c r="K34" s="224"/>
      <c r="L34" s="176"/>
      <c r="M34" s="238"/>
      <c r="N34" s="240" t="s">
        <v>46</v>
      </c>
    </row>
    <row r="35" spans="1:14" s="50" customFormat="1" ht="25" customHeight="1" thickTop="1" thickBot="1" x14ac:dyDescent="0.4">
      <c r="A35" s="194" t="s">
        <v>45</v>
      </c>
      <c r="B35" s="176"/>
      <c r="C35" s="225">
        <v>9</v>
      </c>
      <c r="D35" s="231"/>
      <c r="E35" s="232" t="str">
        <f t="shared" si="0"/>
        <v/>
      </c>
      <c r="F35" s="232" t="str">
        <f>IF(J35='Factor Lookup'!$A$43,"",VLOOKUP(J35,'Factor Lookup'!$A$43:$B$47,2,))</f>
        <v/>
      </c>
      <c r="G35" s="232"/>
      <c r="H35" s="233"/>
      <c r="I35" s="232"/>
      <c r="J35" s="235" t="s">
        <v>44</v>
      </c>
      <c r="K35" s="224"/>
      <c r="L35" s="176"/>
      <c r="M35" s="239"/>
      <c r="N35" s="240" t="s">
        <v>46</v>
      </c>
    </row>
    <row r="36" spans="1:14" ht="10" customHeight="1" thickTop="1" thickBot="1" x14ac:dyDescent="0.4">
      <c r="A36" s="169" t="str">
        <f>A26</f>
        <v>Print</v>
      </c>
      <c r="B36" s="176"/>
      <c r="D36" s="19"/>
      <c r="F36" s="20"/>
      <c r="G36" s="20"/>
      <c r="K36" s="15"/>
      <c r="L36" s="176"/>
    </row>
    <row r="37" spans="1:14" s="18" customFormat="1" ht="30" customHeight="1" thickTop="1" thickBot="1" x14ac:dyDescent="0.4">
      <c r="A37" s="194" t="s">
        <v>39</v>
      </c>
      <c r="B37" s="176"/>
      <c r="C37" s="16" t="s">
        <v>47</v>
      </c>
      <c r="D37" s="207" t="s">
        <v>241</v>
      </c>
      <c r="E37" s="220"/>
      <c r="F37" s="220"/>
      <c r="G37" s="221">
        <f>IF(I37=0,0,IF(COUNT(E38:E47)&lt;&gt;COUNT(F38:F47),0,IF(COUNT(F37:F47)=0,0,IF(I37=0,0,SUM(F37:F47)/COUNT(F37:F47)))))</f>
        <v>2.15</v>
      </c>
      <c r="H37" s="221">
        <f>IF(COUNT(E38:E47)&lt;&gt;COUNT(F38:F47),0,IF(AND(I37&gt;0,COUNT(F38:F47)=0),0,IF(I$137=0,0,IF(I37=0,0,(SUM(F38:F47)/COUNT(F38:F47))*I37/I$137))))</f>
        <v>0.53749999999999998</v>
      </c>
      <c r="I37" s="222">
        <f>VLOOKUP(J37,'Factor Lookup'!$A$34:$B$38,2,)</f>
        <v>7</v>
      </c>
      <c r="J37" s="227" t="s">
        <v>124</v>
      </c>
      <c r="K37" s="17" t="str">
        <f>IF(OR(G37=0,H37=0),"Not Rated",IF(G37&lt;'Factor Lookup'!$A$53,'Factor Lookup'!$C$52,IF(AND(G37&gt;'Factor Lookup'!$B$52,G37&lt;'Factor Lookup'!$A$54),'Factor Lookup'!$C$53,'Factor Lookup'!$C$54)))</f>
        <v>Meets Expectation</v>
      </c>
      <c r="L37" s="176"/>
      <c r="M37" s="236" t="str">
        <f>IF(OR(J38="Requires Attention",J39="Requires Attention",J40="Requires Attention",J41="Requires Attention",J42="Requires Attention",J43="Requires Attention",J44="Requires Attention",J45="Requires Attention",J46="Requires Attention"),"Corrective Action","")</f>
        <v/>
      </c>
      <c r="N37" s="240" t="s">
        <v>43</v>
      </c>
    </row>
    <row r="38" spans="1:14" s="50" customFormat="1" ht="25" customHeight="1" thickTop="1" thickBot="1" x14ac:dyDescent="0.4">
      <c r="A38" s="194" t="s">
        <v>39</v>
      </c>
      <c r="B38" s="176"/>
      <c r="C38" s="223">
        <v>1</v>
      </c>
      <c r="D38" s="267" t="s">
        <v>238</v>
      </c>
      <c r="E38" s="229">
        <f t="shared" ref="E38:E46" si="1">IF(D38="","",1)</f>
        <v>1</v>
      </c>
      <c r="F38" s="229">
        <f>IF(J38='Factor Lookup'!$A$43,"",VLOOKUP(J38,'Factor Lookup'!$A$43:$B$47,2,))</f>
        <v>2.2999999999999998</v>
      </c>
      <c r="G38" s="229"/>
      <c r="H38" s="230"/>
      <c r="I38" s="229"/>
      <c r="J38" s="234" t="s">
        <v>134</v>
      </c>
      <c r="K38" s="224"/>
      <c r="L38" s="176"/>
      <c r="M38" s="237"/>
      <c r="N38" s="240" t="s">
        <v>43</v>
      </c>
    </row>
    <row r="39" spans="1:14" s="50" customFormat="1" ht="25" customHeight="1" thickTop="1" thickBot="1" x14ac:dyDescent="0.4">
      <c r="A39" s="194" t="s">
        <v>39</v>
      </c>
      <c r="B39" s="176"/>
      <c r="C39" s="225">
        <v>2</v>
      </c>
      <c r="D39" s="266" t="s">
        <v>257</v>
      </c>
      <c r="E39" s="232">
        <f t="shared" si="1"/>
        <v>1</v>
      </c>
      <c r="F39" s="232">
        <f>IF(J39='Factor Lookup'!$A$43,"",VLOOKUP(J39,'Factor Lookup'!$A$43:$B$47,2,))</f>
        <v>2.2999999999999998</v>
      </c>
      <c r="G39" s="232"/>
      <c r="H39" s="233"/>
      <c r="I39" s="232"/>
      <c r="J39" s="235" t="s">
        <v>134</v>
      </c>
      <c r="K39" s="224"/>
      <c r="L39" s="176"/>
      <c r="M39" s="238"/>
      <c r="N39" s="240" t="s">
        <v>43</v>
      </c>
    </row>
    <row r="40" spans="1:14" s="50" customFormat="1" ht="25" customHeight="1" thickTop="1" thickBot="1" x14ac:dyDescent="0.4">
      <c r="A40" s="194" t="s">
        <v>39</v>
      </c>
      <c r="B40" s="176"/>
      <c r="C40" s="225">
        <v>3</v>
      </c>
      <c r="D40" s="268" t="s">
        <v>239</v>
      </c>
      <c r="E40" s="232">
        <f t="shared" si="1"/>
        <v>1</v>
      </c>
      <c r="F40" s="232">
        <f>IF(J40='Factor Lookup'!$A$43,"",VLOOKUP(J40,'Factor Lookup'!$A$43:$B$47,2,))</f>
        <v>2</v>
      </c>
      <c r="G40" s="232"/>
      <c r="H40" s="233"/>
      <c r="I40" s="232"/>
      <c r="J40" s="235" t="s">
        <v>132</v>
      </c>
      <c r="K40" s="224"/>
      <c r="L40" s="176"/>
      <c r="M40" s="238"/>
      <c r="N40" s="240" t="s">
        <v>43</v>
      </c>
    </row>
    <row r="41" spans="1:14" s="50" customFormat="1" ht="25" customHeight="1" thickTop="1" thickBot="1" x14ac:dyDescent="0.4">
      <c r="A41" s="194" t="s">
        <v>39</v>
      </c>
      <c r="B41" s="176"/>
      <c r="C41" s="225">
        <v>4</v>
      </c>
      <c r="D41" s="266" t="s">
        <v>240</v>
      </c>
      <c r="E41" s="232">
        <f>IF(D41="","",1)</f>
        <v>1</v>
      </c>
      <c r="F41" s="232">
        <f>IF(J41='Factor Lookup'!$A$43,"",VLOOKUP(J41,'Factor Lookup'!$A$43:$B$47,2,))</f>
        <v>2</v>
      </c>
      <c r="G41" s="232"/>
      <c r="H41" s="233"/>
      <c r="I41" s="232"/>
      <c r="J41" s="235" t="s">
        <v>132</v>
      </c>
      <c r="K41" s="224"/>
      <c r="L41" s="176"/>
      <c r="M41" s="238"/>
      <c r="N41" s="240" t="s">
        <v>43</v>
      </c>
    </row>
    <row r="42" spans="1:14" s="50" customFormat="1" ht="25" customHeight="1" thickTop="1" thickBot="1" x14ac:dyDescent="0.4">
      <c r="A42" s="194" t="s">
        <v>39</v>
      </c>
      <c r="B42" s="176"/>
      <c r="C42" s="225">
        <v>5</v>
      </c>
      <c r="D42" s="231"/>
      <c r="E42" s="232" t="str">
        <f>IF(D42="","",1)</f>
        <v/>
      </c>
      <c r="F42" s="232" t="str">
        <f>IF(J42='Factor Lookup'!$A$43,"",VLOOKUP(J42,'Factor Lookup'!$A$43:$B$47,2,))</f>
        <v/>
      </c>
      <c r="G42" s="232"/>
      <c r="H42" s="233"/>
      <c r="I42" s="232"/>
      <c r="J42" s="235" t="s">
        <v>44</v>
      </c>
      <c r="K42" s="224"/>
      <c r="L42" s="176"/>
      <c r="M42" s="238"/>
      <c r="N42" s="240" t="s">
        <v>46</v>
      </c>
    </row>
    <row r="43" spans="1:14" s="50" customFormat="1" ht="25" customHeight="1" thickTop="1" thickBot="1" x14ac:dyDescent="0.4">
      <c r="A43" s="194" t="s">
        <v>39</v>
      </c>
      <c r="B43" s="176"/>
      <c r="C43" s="225">
        <v>6</v>
      </c>
      <c r="D43" s="231"/>
      <c r="E43" s="232" t="str">
        <f>IF(D43="","",1)</f>
        <v/>
      </c>
      <c r="F43" s="232" t="str">
        <f>IF(J43='Factor Lookup'!$A$43,"",VLOOKUP(J43,'Factor Lookup'!$A$43:$B$47,2,))</f>
        <v/>
      </c>
      <c r="G43" s="232"/>
      <c r="H43" s="233"/>
      <c r="I43" s="232"/>
      <c r="J43" s="235" t="s">
        <v>44</v>
      </c>
      <c r="K43" s="224"/>
      <c r="L43" s="176"/>
      <c r="M43" s="238"/>
      <c r="N43" s="240" t="s">
        <v>46</v>
      </c>
    </row>
    <row r="44" spans="1:14" s="50" customFormat="1" ht="16.5" thickTop="1" thickBot="1" x14ac:dyDescent="0.4">
      <c r="A44" s="194" t="s">
        <v>39</v>
      </c>
      <c r="B44" s="176"/>
      <c r="C44" s="225">
        <v>7</v>
      </c>
      <c r="D44" s="231"/>
      <c r="E44" s="232" t="str">
        <f>IF(D44="","",1)</f>
        <v/>
      </c>
      <c r="F44" s="232" t="str">
        <f>IF(J44='Factor Lookup'!$A$43,"",VLOOKUP(J44,'Factor Lookup'!$A$43:$B$47,2,))</f>
        <v/>
      </c>
      <c r="G44" s="232"/>
      <c r="H44" s="233"/>
      <c r="I44" s="232"/>
      <c r="J44" s="235" t="s">
        <v>44</v>
      </c>
      <c r="K44" s="224"/>
      <c r="L44" s="176"/>
      <c r="M44" s="238"/>
      <c r="N44" s="240" t="s">
        <v>46</v>
      </c>
    </row>
    <row r="45" spans="1:14" s="50" customFormat="1" ht="25" customHeight="1" thickTop="1" thickBot="1" x14ac:dyDescent="0.4">
      <c r="A45" s="194" t="s">
        <v>39</v>
      </c>
      <c r="B45" s="176"/>
      <c r="C45" s="225">
        <v>8</v>
      </c>
      <c r="D45" s="231"/>
      <c r="E45" s="232" t="str">
        <f t="shared" si="1"/>
        <v/>
      </c>
      <c r="F45" s="232" t="str">
        <f>IF(J45='Factor Lookup'!$A$43,"",VLOOKUP(J45,'Factor Lookup'!$A$43:$B$47,2,))</f>
        <v/>
      </c>
      <c r="G45" s="232"/>
      <c r="H45" s="233"/>
      <c r="I45" s="232"/>
      <c r="J45" s="235" t="s">
        <v>44</v>
      </c>
      <c r="K45" s="224"/>
      <c r="L45" s="176"/>
      <c r="M45" s="238"/>
      <c r="N45" s="240" t="s">
        <v>46</v>
      </c>
    </row>
    <row r="46" spans="1:14" s="50" customFormat="1" ht="25" customHeight="1" thickTop="1" thickBot="1" x14ac:dyDescent="0.4">
      <c r="A46" s="194" t="s">
        <v>45</v>
      </c>
      <c r="B46" s="176"/>
      <c r="C46" s="225">
        <v>9</v>
      </c>
      <c r="D46" s="231"/>
      <c r="E46" s="232" t="str">
        <f t="shared" si="1"/>
        <v/>
      </c>
      <c r="F46" s="232" t="str">
        <f>IF(J46='Factor Lookup'!$A$43,"",VLOOKUP(J46,'Factor Lookup'!$A$43:$B$47,2,))</f>
        <v/>
      </c>
      <c r="G46" s="232"/>
      <c r="H46" s="233"/>
      <c r="I46" s="232"/>
      <c r="J46" s="235" t="s">
        <v>44</v>
      </c>
      <c r="K46" s="224"/>
      <c r="L46" s="176"/>
      <c r="M46" s="239"/>
      <c r="N46" s="240" t="s">
        <v>46</v>
      </c>
    </row>
    <row r="47" spans="1:14" ht="10" customHeight="1" thickTop="1" thickBot="1" x14ac:dyDescent="0.4">
      <c r="A47" s="169" t="str">
        <f>A37</f>
        <v>Print</v>
      </c>
      <c r="B47" s="176"/>
      <c r="D47" s="19"/>
      <c r="F47" s="20"/>
      <c r="G47" s="20"/>
      <c r="K47" s="15"/>
      <c r="L47" s="176"/>
    </row>
    <row r="48" spans="1:14" s="18" customFormat="1" ht="30" customHeight="1" thickTop="1" thickBot="1" x14ac:dyDescent="0.4">
      <c r="A48" s="194" t="s">
        <v>39</v>
      </c>
      <c r="B48" s="176"/>
      <c r="C48" s="16" t="s">
        <v>48</v>
      </c>
      <c r="D48" s="207" t="s">
        <v>246</v>
      </c>
      <c r="E48" s="220"/>
      <c r="F48" s="220"/>
      <c r="G48" s="221">
        <f>IF(I48=0,0,IF(COUNT(E49:E58)&lt;&gt;COUNT(F49:F58),0,IF(COUNT(F48:F58)=0,0,IF(I48=0,0,SUM(F48:F58)/COUNT(F48:F58)))))</f>
        <v>2.15</v>
      </c>
      <c r="H48" s="221">
        <f>IF(COUNT(E49:E58)&lt;&gt;COUNT(F49:F58),0,IF(AND(I48&gt;0,COUNT(F49:F58)=0),0,IF(I$137=0,0,IF(I48=0,0,(SUM(F49:F58)/COUNT(F49:F58))*I48/I$137))))</f>
        <v>0.53749999999999998</v>
      </c>
      <c r="I48" s="222">
        <f>VLOOKUP(J48,'Factor Lookup'!$A$34:$B$38,2,)</f>
        <v>7</v>
      </c>
      <c r="J48" s="227" t="s">
        <v>124</v>
      </c>
      <c r="K48" s="17" t="str">
        <f>IF(OR(G48=0,H48=0),"Not Rated",IF(G48&lt;'Factor Lookup'!$A$53,'Factor Lookup'!$C$52,IF(AND(G48&gt;'Factor Lookup'!$B$52,G48&lt;'Factor Lookup'!$A$54),'Factor Lookup'!$C$53,'Factor Lookup'!$C$54)))</f>
        <v>Meets Expectation</v>
      </c>
      <c r="L48" s="176"/>
      <c r="M48" s="236" t="str">
        <f>IF(OR(J49="Requires Attention",J50="Requires Attention",J51="Requires Attention",J52="Requires Attention",J53="Requires Attention",J54="Requires Attention",J55="Requires Attention",J56="Requires Attention",J57="Requires Attention"),"Corrective Action","")</f>
        <v/>
      </c>
      <c r="N48" s="240" t="s">
        <v>43</v>
      </c>
    </row>
    <row r="49" spans="1:14" s="50" customFormat="1" ht="25" customHeight="1" thickTop="1" thickBot="1" x14ac:dyDescent="0.4">
      <c r="A49" s="194" t="s">
        <v>39</v>
      </c>
      <c r="B49" s="176"/>
      <c r="C49" s="223">
        <v>1</v>
      </c>
      <c r="D49" s="267" t="s">
        <v>242</v>
      </c>
      <c r="E49" s="229">
        <f t="shared" ref="E49:E57" si="2">IF(D49="","",1)</f>
        <v>1</v>
      </c>
      <c r="F49" s="229">
        <f>IF(J49='Factor Lookup'!$A$43,"",VLOOKUP(J49,'Factor Lookup'!$A$43:$B$47,2,))</f>
        <v>2.2999999999999998</v>
      </c>
      <c r="G49" s="229"/>
      <c r="H49" s="230"/>
      <c r="I49" s="229"/>
      <c r="J49" s="234" t="s">
        <v>134</v>
      </c>
      <c r="K49" s="224"/>
      <c r="L49" s="176"/>
      <c r="M49" s="237"/>
      <c r="N49" s="240" t="s">
        <v>43</v>
      </c>
    </row>
    <row r="50" spans="1:14" s="50" customFormat="1" ht="25" customHeight="1" thickTop="1" thickBot="1" x14ac:dyDescent="0.4">
      <c r="A50" s="194" t="s">
        <v>39</v>
      </c>
      <c r="B50" s="176"/>
      <c r="C50" s="225">
        <v>2</v>
      </c>
      <c r="D50" s="266" t="s">
        <v>243</v>
      </c>
      <c r="E50" s="232">
        <f t="shared" si="2"/>
        <v>1</v>
      </c>
      <c r="F50" s="232">
        <f>IF(J50='Factor Lookup'!$A$43,"",VLOOKUP(J50,'Factor Lookup'!$A$43:$B$47,2,))</f>
        <v>2</v>
      </c>
      <c r="G50" s="232"/>
      <c r="H50" s="233"/>
      <c r="I50" s="232"/>
      <c r="J50" s="235" t="s">
        <v>132</v>
      </c>
      <c r="K50" s="224"/>
      <c r="L50" s="176"/>
      <c r="M50" s="238"/>
      <c r="N50" s="240" t="s">
        <v>43</v>
      </c>
    </row>
    <row r="51" spans="1:14" s="50" customFormat="1" ht="25" customHeight="1" thickTop="1" thickBot="1" x14ac:dyDescent="0.4">
      <c r="A51" s="194" t="s">
        <v>39</v>
      </c>
      <c r="B51" s="176"/>
      <c r="C51" s="225">
        <v>3</v>
      </c>
      <c r="D51" s="267" t="s">
        <v>244</v>
      </c>
      <c r="E51" s="232">
        <f t="shared" si="2"/>
        <v>1</v>
      </c>
      <c r="F51" s="232">
        <f>IF(J51='Factor Lookup'!$A$43,"",VLOOKUP(J51,'Factor Lookup'!$A$43:$B$47,2,))</f>
        <v>2.2999999999999998</v>
      </c>
      <c r="G51" s="232"/>
      <c r="H51" s="233"/>
      <c r="I51" s="232"/>
      <c r="J51" s="235" t="s">
        <v>134</v>
      </c>
      <c r="K51" s="224"/>
      <c r="L51" s="176"/>
      <c r="M51" s="238"/>
      <c r="N51" s="240" t="s">
        <v>43</v>
      </c>
    </row>
    <row r="52" spans="1:14" s="50" customFormat="1" ht="25" customHeight="1" thickTop="1" thickBot="1" x14ac:dyDescent="0.4">
      <c r="A52" s="194" t="s">
        <v>39</v>
      </c>
      <c r="B52" s="176"/>
      <c r="C52" s="225">
        <v>4</v>
      </c>
      <c r="D52" s="266" t="s">
        <v>245</v>
      </c>
      <c r="E52" s="232">
        <f>IF(D52="","",1)</f>
        <v>1</v>
      </c>
      <c r="F52" s="232">
        <f>IF(J52='Factor Lookup'!$A$43,"",VLOOKUP(J52,'Factor Lookup'!$A$43:$B$47,2,))</f>
        <v>2</v>
      </c>
      <c r="G52" s="232"/>
      <c r="H52" s="233"/>
      <c r="I52" s="232"/>
      <c r="J52" s="235" t="s">
        <v>132</v>
      </c>
      <c r="K52" s="224"/>
      <c r="L52" s="176"/>
      <c r="M52" s="238"/>
      <c r="N52" s="240" t="s">
        <v>43</v>
      </c>
    </row>
    <row r="53" spans="1:14" s="50" customFormat="1" ht="25" customHeight="1" thickTop="1" thickBot="1" x14ac:dyDescent="0.4">
      <c r="A53" s="194" t="s">
        <v>39</v>
      </c>
      <c r="B53" s="176"/>
      <c r="C53" s="225">
        <v>5</v>
      </c>
      <c r="D53" s="231"/>
      <c r="E53" s="232" t="str">
        <f>IF(D53="","",1)</f>
        <v/>
      </c>
      <c r="F53" s="232" t="str">
        <f>IF(J53='Factor Lookup'!$A$43,"",VLOOKUP(J53,'Factor Lookup'!$A$43:$B$47,2,))</f>
        <v/>
      </c>
      <c r="G53" s="232"/>
      <c r="H53" s="233"/>
      <c r="I53" s="232"/>
      <c r="J53" s="235" t="s">
        <v>44</v>
      </c>
      <c r="K53" s="224"/>
      <c r="L53" s="176"/>
      <c r="M53" s="238"/>
      <c r="N53" s="240" t="s">
        <v>46</v>
      </c>
    </row>
    <row r="54" spans="1:14" s="50" customFormat="1" ht="16.5" thickTop="1" thickBot="1" x14ac:dyDescent="0.4">
      <c r="A54" s="194" t="s">
        <v>39</v>
      </c>
      <c r="B54" s="176"/>
      <c r="C54" s="225">
        <v>6</v>
      </c>
      <c r="D54" s="231"/>
      <c r="E54" s="232" t="str">
        <f>IF(D54="","",1)</f>
        <v/>
      </c>
      <c r="F54" s="232" t="str">
        <f>IF(J54='Factor Lookup'!$A$43,"",VLOOKUP(J54,'Factor Lookup'!$A$43:$B$47,2,))</f>
        <v/>
      </c>
      <c r="G54" s="232"/>
      <c r="H54" s="233"/>
      <c r="I54" s="232"/>
      <c r="J54" s="235" t="s">
        <v>44</v>
      </c>
      <c r="K54" s="224"/>
      <c r="L54" s="176"/>
      <c r="M54" s="238"/>
      <c r="N54" s="240" t="s">
        <v>46</v>
      </c>
    </row>
    <row r="55" spans="1:14" s="50" customFormat="1" ht="25" customHeight="1" thickTop="1" thickBot="1" x14ac:dyDescent="0.4">
      <c r="A55" s="194" t="s">
        <v>39</v>
      </c>
      <c r="B55" s="176"/>
      <c r="C55" s="225">
        <v>7</v>
      </c>
      <c r="D55" s="231"/>
      <c r="E55" s="232" t="str">
        <f>IF(D55="","",1)</f>
        <v/>
      </c>
      <c r="F55" s="232" t="str">
        <f>IF(J55='Factor Lookup'!$A$43,"",VLOOKUP(J55,'Factor Lookup'!$A$43:$B$47,2,))</f>
        <v/>
      </c>
      <c r="G55" s="232"/>
      <c r="H55" s="233"/>
      <c r="I55" s="232"/>
      <c r="J55" s="235" t="s">
        <v>44</v>
      </c>
      <c r="K55" s="224"/>
      <c r="L55" s="176"/>
      <c r="M55" s="238"/>
      <c r="N55" s="240" t="s">
        <v>46</v>
      </c>
    </row>
    <row r="56" spans="1:14" s="50" customFormat="1" ht="25" customHeight="1" thickTop="1" thickBot="1" x14ac:dyDescent="0.4">
      <c r="A56" s="194" t="s">
        <v>39</v>
      </c>
      <c r="B56" s="176"/>
      <c r="C56" s="225">
        <v>8</v>
      </c>
      <c r="D56" s="231"/>
      <c r="E56" s="232" t="str">
        <f t="shared" si="2"/>
        <v/>
      </c>
      <c r="F56" s="232" t="str">
        <f>IF(J56='Factor Lookup'!$A$43,"",VLOOKUP(J56,'Factor Lookup'!$A$43:$B$47,2,))</f>
        <v/>
      </c>
      <c r="G56" s="232"/>
      <c r="H56" s="233"/>
      <c r="I56" s="232"/>
      <c r="J56" s="235" t="s">
        <v>44</v>
      </c>
      <c r="K56" s="224"/>
      <c r="L56" s="176"/>
      <c r="M56" s="238"/>
      <c r="N56" s="240" t="s">
        <v>46</v>
      </c>
    </row>
    <row r="57" spans="1:14" s="50" customFormat="1" ht="25" customHeight="1" thickTop="1" thickBot="1" x14ac:dyDescent="0.4">
      <c r="A57" s="194" t="s">
        <v>45</v>
      </c>
      <c r="B57" s="176"/>
      <c r="C57" s="225">
        <v>9</v>
      </c>
      <c r="D57" s="231"/>
      <c r="E57" s="232" t="str">
        <f t="shared" si="2"/>
        <v/>
      </c>
      <c r="F57" s="232" t="str">
        <f>IF(J57='Factor Lookup'!$A$43,"",VLOOKUP(J57,'Factor Lookup'!$A$43:$B$47,2,))</f>
        <v/>
      </c>
      <c r="G57" s="232"/>
      <c r="H57" s="233"/>
      <c r="I57" s="232"/>
      <c r="J57" s="235" t="s">
        <v>44</v>
      </c>
      <c r="K57" s="224"/>
      <c r="L57" s="176"/>
      <c r="M57" s="239"/>
      <c r="N57" s="240" t="s">
        <v>46</v>
      </c>
    </row>
    <row r="58" spans="1:14" ht="10" customHeight="1" thickTop="1" thickBot="1" x14ac:dyDescent="0.4">
      <c r="A58" s="169" t="str">
        <f>A48</f>
        <v>Print</v>
      </c>
      <c r="B58" s="176"/>
      <c r="D58" s="19"/>
      <c r="F58" s="20"/>
      <c r="G58" s="20"/>
      <c r="K58" s="15"/>
      <c r="L58" s="176"/>
    </row>
    <row r="59" spans="1:14" s="18" customFormat="1" ht="30" customHeight="1" thickTop="1" thickBot="1" x14ac:dyDescent="0.4">
      <c r="A59" s="194" t="s">
        <v>39</v>
      </c>
      <c r="B59" s="176"/>
      <c r="C59" s="16" t="s">
        <v>49</v>
      </c>
      <c r="D59" s="207" t="s">
        <v>254</v>
      </c>
      <c r="E59" s="220"/>
      <c r="F59" s="220"/>
      <c r="G59" s="221">
        <f>IF(I59=0,0,IF(COUNT(E60:E69)&lt;&gt;COUNT(F60:F69),0,IF(COUNT(F59:F69)=0,0,IF(I59=0,0,SUM(F59:F69)/COUNT(F59:F69)))))</f>
        <v>2.0428571428571431</v>
      </c>
      <c r="H59" s="221">
        <f>IF(COUNT(E60:E69)&lt;&gt;COUNT(F60:F69),0,IF(AND(I59&gt;0,COUNT(F60:F69)=0),0,IF(I$137=0,0,IF(I59=0,0,(SUM(F60:F69)/COUNT(F60:F69))*I59/I$137))))</f>
        <v>0.51071428571428579</v>
      </c>
      <c r="I59" s="222">
        <f>VLOOKUP(J59,'Factor Lookup'!$A$34:$B$38,2,)</f>
        <v>7</v>
      </c>
      <c r="J59" s="227" t="s">
        <v>124</v>
      </c>
      <c r="K59" s="17" t="str">
        <f>IF(OR(G59=0,H59=0),"Not Rated",IF(G59&lt;'Factor Lookup'!$A$53,'Factor Lookup'!$C$52,IF(AND(G59&gt;'Factor Lookup'!$B$52,G59&lt;'Factor Lookup'!$A$54),'Factor Lookup'!$C$53,'Factor Lookup'!$C$54)))</f>
        <v>Meets Expectation</v>
      </c>
      <c r="L59" s="176"/>
      <c r="M59" s="236" t="str">
        <f>IF(OR(J60="Requires Attention",J61="Requires Attention",J62="Requires Attention",J63="Requires Attention",J64="Requires Attention",J65="Requires Attention",J66="Requires Attention",J67="Requires Attention",J68="Requires Attention"),"Corrective Action","")</f>
        <v/>
      </c>
      <c r="N59" s="240" t="s">
        <v>43</v>
      </c>
    </row>
    <row r="60" spans="1:14" s="50" customFormat="1" ht="25" customHeight="1" thickTop="1" thickBot="1" x14ac:dyDescent="0.4">
      <c r="A60" s="194" t="s">
        <v>39</v>
      </c>
      <c r="B60" s="176"/>
      <c r="C60" s="223">
        <v>1</v>
      </c>
      <c r="D60" s="267" t="s">
        <v>247</v>
      </c>
      <c r="E60" s="229">
        <f t="shared" ref="E60:E68" si="3">IF(D60="","",1)</f>
        <v>1</v>
      </c>
      <c r="F60" s="229">
        <f>IF(J60='Factor Lookup'!$A$43,"",VLOOKUP(J60,'Factor Lookup'!$A$43:$B$47,2,))</f>
        <v>2</v>
      </c>
      <c r="G60" s="229"/>
      <c r="H60" s="230"/>
      <c r="I60" s="229"/>
      <c r="J60" s="234" t="s">
        <v>132</v>
      </c>
      <c r="K60" s="224"/>
      <c r="L60" s="176"/>
      <c r="M60" s="237"/>
      <c r="N60" s="240" t="s">
        <v>43</v>
      </c>
    </row>
    <row r="61" spans="1:14" s="50" customFormat="1" ht="25" customHeight="1" thickTop="1" thickBot="1" x14ac:dyDescent="0.4">
      <c r="A61" s="194" t="s">
        <v>39</v>
      </c>
      <c r="B61" s="176"/>
      <c r="C61" s="225">
        <v>2</v>
      </c>
      <c r="D61" s="266" t="s">
        <v>248</v>
      </c>
      <c r="E61" s="232">
        <f t="shared" si="3"/>
        <v>1</v>
      </c>
      <c r="F61" s="232">
        <f>IF(J61='Factor Lookup'!$A$43,"",VLOOKUP(J61,'Factor Lookup'!$A$43:$B$47,2,))</f>
        <v>2.2999999999999998</v>
      </c>
      <c r="G61" s="232"/>
      <c r="H61" s="233"/>
      <c r="I61" s="232"/>
      <c r="J61" s="235" t="s">
        <v>134</v>
      </c>
      <c r="K61" s="224"/>
      <c r="L61" s="176"/>
      <c r="M61" s="238"/>
      <c r="N61" s="240" t="s">
        <v>43</v>
      </c>
    </row>
    <row r="62" spans="1:14" s="50" customFormat="1" ht="27" thickTop="1" thickBot="1" x14ac:dyDescent="0.4">
      <c r="A62" s="194" t="s">
        <v>39</v>
      </c>
      <c r="B62" s="176"/>
      <c r="C62" s="225">
        <v>3</v>
      </c>
      <c r="D62" s="267" t="s">
        <v>249</v>
      </c>
      <c r="E62" s="232">
        <f t="shared" si="3"/>
        <v>1</v>
      </c>
      <c r="F62" s="232">
        <f>IF(J62='Factor Lookup'!$A$43,"",VLOOKUP(J62,'Factor Lookup'!$A$43:$B$47,2,))</f>
        <v>2</v>
      </c>
      <c r="G62" s="232"/>
      <c r="H62" s="233"/>
      <c r="I62" s="232"/>
      <c r="J62" s="235" t="s">
        <v>132</v>
      </c>
      <c r="K62" s="224"/>
      <c r="L62" s="176"/>
      <c r="M62" s="238"/>
      <c r="N62" s="240" t="s">
        <v>43</v>
      </c>
    </row>
    <row r="63" spans="1:14" s="50" customFormat="1" ht="25" customHeight="1" thickTop="1" thickBot="1" x14ac:dyDescent="0.4">
      <c r="A63" s="194" t="s">
        <v>45</v>
      </c>
      <c r="B63" s="176"/>
      <c r="C63" s="225">
        <v>4</v>
      </c>
      <c r="D63" s="266" t="s">
        <v>250</v>
      </c>
      <c r="E63" s="232">
        <f>IF(D63="","",1)</f>
        <v>1</v>
      </c>
      <c r="F63" s="232">
        <f>IF(J63='Factor Lookup'!$A$43,"",VLOOKUP(J63,'Factor Lookup'!$A$43:$B$47,2,))</f>
        <v>2</v>
      </c>
      <c r="G63" s="232"/>
      <c r="H63" s="233"/>
      <c r="I63" s="232"/>
      <c r="J63" s="235" t="s">
        <v>132</v>
      </c>
      <c r="K63" s="224"/>
      <c r="L63" s="176"/>
      <c r="M63" s="238"/>
      <c r="N63" s="240" t="s">
        <v>43</v>
      </c>
    </row>
    <row r="64" spans="1:14" s="50" customFormat="1" ht="25" customHeight="1" thickTop="1" thickBot="1" x14ac:dyDescent="0.4">
      <c r="A64" s="194" t="s">
        <v>45</v>
      </c>
      <c r="B64" s="176"/>
      <c r="C64" s="225">
        <v>5</v>
      </c>
      <c r="D64" s="267" t="s">
        <v>251</v>
      </c>
      <c r="E64" s="232">
        <f>IF(D64="","",1)</f>
        <v>1</v>
      </c>
      <c r="F64" s="232">
        <f>IF(J64='Factor Lookup'!$A$43,"",VLOOKUP(J64,'Factor Lookup'!$A$43:$B$47,2,))</f>
        <v>2</v>
      </c>
      <c r="G64" s="232"/>
      <c r="H64" s="233"/>
      <c r="I64" s="232"/>
      <c r="J64" s="235" t="s">
        <v>132</v>
      </c>
      <c r="K64" s="224"/>
      <c r="L64" s="176"/>
      <c r="M64" s="238"/>
      <c r="N64" s="240" t="s">
        <v>43</v>
      </c>
    </row>
    <row r="65" spans="1:14" s="50" customFormat="1" ht="25" customHeight="1" thickTop="1" thickBot="1" x14ac:dyDescent="0.4">
      <c r="A65" s="194" t="s">
        <v>45</v>
      </c>
      <c r="B65" s="176"/>
      <c r="C65" s="225">
        <v>6</v>
      </c>
      <c r="D65" s="266" t="s">
        <v>252</v>
      </c>
      <c r="E65" s="232">
        <f>IF(D65="","",1)</f>
        <v>1</v>
      </c>
      <c r="F65" s="232">
        <f>IF(J65='Factor Lookup'!$A$43,"",VLOOKUP(J65,'Factor Lookup'!$A$43:$B$47,2,))</f>
        <v>2</v>
      </c>
      <c r="G65" s="232"/>
      <c r="H65" s="233"/>
      <c r="I65" s="232"/>
      <c r="J65" s="235" t="s">
        <v>132</v>
      </c>
      <c r="K65" s="224"/>
      <c r="L65" s="176"/>
      <c r="M65" s="238"/>
      <c r="N65" s="240" t="s">
        <v>43</v>
      </c>
    </row>
    <row r="66" spans="1:14" s="50" customFormat="1" ht="25" customHeight="1" thickTop="1" thickBot="1" x14ac:dyDescent="0.4">
      <c r="A66" s="194" t="s">
        <v>45</v>
      </c>
      <c r="B66" s="176"/>
      <c r="C66" s="225">
        <v>7</v>
      </c>
      <c r="D66" s="272" t="s">
        <v>253</v>
      </c>
      <c r="E66" s="232">
        <f>IF(D66="","",1)</f>
        <v>1</v>
      </c>
      <c r="F66" s="232">
        <f>IF(J66='Factor Lookup'!$A$43,"",VLOOKUP(J66,'Factor Lookup'!$A$43:$B$47,2,))</f>
        <v>2</v>
      </c>
      <c r="G66" s="232"/>
      <c r="H66" s="233"/>
      <c r="I66" s="232"/>
      <c r="J66" s="235" t="s">
        <v>132</v>
      </c>
      <c r="K66" s="224"/>
      <c r="L66" s="176"/>
      <c r="M66" s="238"/>
      <c r="N66" s="240" t="s">
        <v>43</v>
      </c>
    </row>
    <row r="67" spans="1:14" s="50" customFormat="1" ht="25" customHeight="1" thickTop="1" thickBot="1" x14ac:dyDescent="0.4">
      <c r="A67" s="194" t="s">
        <v>45</v>
      </c>
      <c r="B67" s="176"/>
      <c r="C67" s="225">
        <v>8</v>
      </c>
      <c r="D67" s="231"/>
      <c r="E67" s="232" t="str">
        <f t="shared" si="3"/>
        <v/>
      </c>
      <c r="F67" s="232" t="str">
        <f>IF(J67='Factor Lookup'!$A$43,"",VLOOKUP(J67,'Factor Lookup'!$A$43:$B$47,2,))</f>
        <v/>
      </c>
      <c r="G67" s="232"/>
      <c r="H67" s="233"/>
      <c r="I67" s="232"/>
      <c r="J67" s="235" t="s">
        <v>44</v>
      </c>
      <c r="K67" s="224"/>
      <c r="L67" s="176"/>
      <c r="M67" s="238"/>
      <c r="N67" s="240" t="s">
        <v>46</v>
      </c>
    </row>
    <row r="68" spans="1:14" s="50" customFormat="1" ht="25" customHeight="1" thickTop="1" thickBot="1" x14ac:dyDescent="0.4">
      <c r="A68" s="194" t="s">
        <v>45</v>
      </c>
      <c r="B68" s="176"/>
      <c r="C68" s="225">
        <v>9</v>
      </c>
      <c r="D68" s="231"/>
      <c r="E68" s="232" t="str">
        <f t="shared" si="3"/>
        <v/>
      </c>
      <c r="F68" s="232" t="str">
        <f>IF(J68='Factor Lookup'!$A$43,"",VLOOKUP(J68,'Factor Lookup'!$A$43:$B$47,2,))</f>
        <v/>
      </c>
      <c r="G68" s="232"/>
      <c r="H68" s="233"/>
      <c r="I68" s="232"/>
      <c r="J68" s="235" t="s">
        <v>44</v>
      </c>
      <c r="K68" s="224"/>
      <c r="L68" s="176"/>
      <c r="M68" s="239"/>
      <c r="N68" s="240" t="s">
        <v>46</v>
      </c>
    </row>
    <row r="69" spans="1:14" ht="10" customHeight="1" thickTop="1" thickBot="1" x14ac:dyDescent="0.4">
      <c r="A69" s="169" t="str">
        <f>A59</f>
        <v>Print</v>
      </c>
      <c r="B69" s="176"/>
      <c r="D69" s="19"/>
      <c r="F69" s="20"/>
      <c r="G69" s="20"/>
      <c r="K69" s="15"/>
      <c r="L69" s="176"/>
    </row>
    <row r="70" spans="1:14" s="18" customFormat="1" ht="30" customHeight="1" thickTop="1" thickBot="1" x14ac:dyDescent="0.4">
      <c r="A70" s="194" t="s">
        <v>39</v>
      </c>
      <c r="B70" s="176"/>
      <c r="C70" s="16" t="s">
        <v>50</v>
      </c>
      <c r="D70" s="207" t="s">
        <v>41</v>
      </c>
      <c r="E70" s="220"/>
      <c r="F70" s="220"/>
      <c r="G70" s="221">
        <f>IF(I70=0,0,IF(COUNT(E71:E80)&lt;&gt;COUNT(F71:F80),0,IF(COUNT(F70:F80)=0,0,IF(I70=0,0,SUM(F70:F80)/COUNT(F70:F80)))))</f>
        <v>0</v>
      </c>
      <c r="H70" s="221">
        <f>IF(COUNT(E71:E80)&lt;&gt;COUNT(F71:F80),0,IF(AND(I70&gt;0,COUNT(F71:F80)=0),0,IF(I$137=0,0,IF(I70=0,0,(SUM(F71:F80)/COUNT(F71:F80))*I70/I$137))))</f>
        <v>0</v>
      </c>
      <c r="I70" s="222">
        <f>VLOOKUP(J70,'Factor Lookup'!$A$34:$B$38,2,)</f>
        <v>0</v>
      </c>
      <c r="J70" s="227" t="s">
        <v>42</v>
      </c>
      <c r="K70" s="17" t="str">
        <f>IF(OR(G70=0,H70=0),"Not Rated",IF(G70&lt;'Factor Lookup'!$A$53,'Factor Lookup'!$C$52,IF(AND(G70&gt;'Factor Lookup'!$B$52,G70&lt;'Factor Lookup'!$A$54),'Factor Lookup'!$C$53,'Factor Lookup'!$C$54)))</f>
        <v>Not Rated</v>
      </c>
      <c r="L70" s="176"/>
      <c r="M70" s="236" t="str">
        <f>IF(OR(J71="Requires Attention",J72="Requires Attention",J73="Requires Attention",J74="Requires Attention",J75="Requires Attention",J76="Requires Attention",J77="Requires Attention",J78="Requires Attention",J79="Requires Attention"),"Corrective Action","")</f>
        <v/>
      </c>
      <c r="N70" s="240" t="s">
        <v>46</v>
      </c>
    </row>
    <row r="71" spans="1:14" s="50" customFormat="1" ht="25" customHeight="1" thickTop="1" thickBot="1" x14ac:dyDescent="0.4">
      <c r="A71" s="194" t="s">
        <v>39</v>
      </c>
      <c r="B71" s="176"/>
      <c r="C71" s="223">
        <v>1</v>
      </c>
      <c r="D71" s="228"/>
      <c r="E71" s="229" t="str">
        <f t="shared" ref="E71:E79" si="4">IF(D71="","",1)</f>
        <v/>
      </c>
      <c r="F71" s="229" t="str">
        <f>IF(J71='Factor Lookup'!$A$43,"",VLOOKUP(J71,'Factor Lookup'!$A$43:$B$47,2,))</f>
        <v/>
      </c>
      <c r="G71" s="229"/>
      <c r="H71" s="230"/>
      <c r="I71" s="229"/>
      <c r="J71" s="234" t="s">
        <v>44</v>
      </c>
      <c r="K71" s="224"/>
      <c r="L71" s="176"/>
      <c r="M71" s="237"/>
      <c r="N71" s="240" t="s">
        <v>46</v>
      </c>
    </row>
    <row r="72" spans="1:14" s="50" customFormat="1" ht="16.5" thickTop="1" thickBot="1" x14ac:dyDescent="0.4">
      <c r="A72" s="194" t="s">
        <v>39</v>
      </c>
      <c r="B72" s="176"/>
      <c r="C72" s="225">
        <v>2</v>
      </c>
      <c r="D72" s="231"/>
      <c r="E72" s="232" t="str">
        <f t="shared" si="4"/>
        <v/>
      </c>
      <c r="F72" s="232" t="str">
        <f>IF(J72='Factor Lookup'!$A$43,"",VLOOKUP(J72,'Factor Lookup'!$A$43:$B$47,2,))</f>
        <v/>
      </c>
      <c r="G72" s="232"/>
      <c r="H72" s="233"/>
      <c r="I72" s="232"/>
      <c r="J72" s="235" t="s">
        <v>44</v>
      </c>
      <c r="K72" s="224"/>
      <c r="L72" s="176"/>
      <c r="M72" s="238"/>
      <c r="N72" s="240" t="s">
        <v>46</v>
      </c>
    </row>
    <row r="73" spans="1:14" s="50" customFormat="1" ht="25" customHeight="1" thickTop="1" thickBot="1" x14ac:dyDescent="0.4">
      <c r="A73" s="194" t="s">
        <v>39</v>
      </c>
      <c r="B73" s="176"/>
      <c r="C73" s="225">
        <v>3</v>
      </c>
      <c r="D73" s="231"/>
      <c r="E73" s="232" t="str">
        <f t="shared" si="4"/>
        <v/>
      </c>
      <c r="F73" s="232" t="str">
        <f>IF(J73='Factor Lookup'!$A$43,"",VLOOKUP(J73,'Factor Lookup'!$A$43:$B$47,2,))</f>
        <v/>
      </c>
      <c r="G73" s="232"/>
      <c r="H73" s="233"/>
      <c r="I73" s="232"/>
      <c r="J73" s="235" t="s">
        <v>44</v>
      </c>
      <c r="K73" s="224"/>
      <c r="L73" s="176"/>
      <c r="M73" s="238"/>
      <c r="N73" s="240" t="s">
        <v>46</v>
      </c>
    </row>
    <row r="74" spans="1:14" s="50" customFormat="1" ht="25" customHeight="1" thickTop="1" thickBot="1" x14ac:dyDescent="0.4">
      <c r="A74" s="194" t="s">
        <v>39</v>
      </c>
      <c r="B74" s="176"/>
      <c r="C74" s="225">
        <v>4</v>
      </c>
      <c r="D74" s="231"/>
      <c r="E74" s="232" t="str">
        <f>IF(D74="","",1)</f>
        <v/>
      </c>
      <c r="F74" s="232" t="str">
        <f>IF(J74='Factor Lookup'!$A$43,"",VLOOKUP(J74,'Factor Lookup'!$A$43:$B$47,2,))</f>
        <v/>
      </c>
      <c r="G74" s="232"/>
      <c r="H74" s="233"/>
      <c r="I74" s="232"/>
      <c r="J74" s="235" t="s">
        <v>44</v>
      </c>
      <c r="K74" s="224"/>
      <c r="L74" s="176"/>
      <c r="M74" s="238"/>
      <c r="N74" s="240" t="s">
        <v>46</v>
      </c>
    </row>
    <row r="75" spans="1:14" s="50" customFormat="1" ht="25" customHeight="1" thickTop="1" thickBot="1" x14ac:dyDescent="0.4">
      <c r="A75" s="194" t="s">
        <v>39</v>
      </c>
      <c r="B75" s="176"/>
      <c r="C75" s="225">
        <v>5</v>
      </c>
      <c r="D75" s="231"/>
      <c r="E75" s="232" t="str">
        <f>IF(D75="","",1)</f>
        <v/>
      </c>
      <c r="F75" s="232" t="str">
        <f>IF(J75='Factor Lookup'!$A$43,"",VLOOKUP(J75,'Factor Lookup'!$A$43:$B$47,2,))</f>
        <v/>
      </c>
      <c r="G75" s="232"/>
      <c r="H75" s="233"/>
      <c r="I75" s="232"/>
      <c r="J75" s="235" t="s">
        <v>44</v>
      </c>
      <c r="K75" s="224"/>
      <c r="L75" s="176"/>
      <c r="M75" s="238"/>
      <c r="N75" s="240" t="s">
        <v>46</v>
      </c>
    </row>
    <row r="76" spans="1:14" s="50" customFormat="1" ht="25" customHeight="1" thickTop="1" thickBot="1" x14ac:dyDescent="0.4">
      <c r="A76" s="194" t="s">
        <v>45</v>
      </c>
      <c r="B76" s="176"/>
      <c r="C76" s="225">
        <v>6</v>
      </c>
      <c r="D76" s="231"/>
      <c r="E76" s="232" t="str">
        <f>IF(D76="","",1)</f>
        <v/>
      </c>
      <c r="F76" s="232" t="str">
        <f>IF(J76='Factor Lookup'!$A$43,"",VLOOKUP(J76,'Factor Lookup'!$A$43:$B$47,2,))</f>
        <v/>
      </c>
      <c r="G76" s="232"/>
      <c r="H76" s="233"/>
      <c r="I76" s="232"/>
      <c r="J76" s="235" t="s">
        <v>44</v>
      </c>
      <c r="K76" s="224"/>
      <c r="L76" s="176"/>
      <c r="M76" s="238"/>
      <c r="N76" s="240" t="s">
        <v>46</v>
      </c>
    </row>
    <row r="77" spans="1:14" s="50" customFormat="1" ht="25" customHeight="1" thickTop="1" thickBot="1" x14ac:dyDescent="0.4">
      <c r="A77" s="194" t="s">
        <v>45</v>
      </c>
      <c r="B77" s="176"/>
      <c r="C77" s="225">
        <v>7</v>
      </c>
      <c r="D77" s="231"/>
      <c r="E77" s="232" t="str">
        <f>IF(D77="","",1)</f>
        <v/>
      </c>
      <c r="F77" s="232" t="str">
        <f>IF(J77='Factor Lookup'!$A$43,"",VLOOKUP(J77,'Factor Lookup'!$A$43:$B$47,2,))</f>
        <v/>
      </c>
      <c r="G77" s="232"/>
      <c r="H77" s="233"/>
      <c r="I77" s="232"/>
      <c r="J77" s="235" t="s">
        <v>44</v>
      </c>
      <c r="K77" s="224"/>
      <c r="L77" s="176"/>
      <c r="M77" s="238"/>
      <c r="N77" s="240" t="s">
        <v>46</v>
      </c>
    </row>
    <row r="78" spans="1:14" s="50" customFormat="1" ht="25" customHeight="1" thickTop="1" thickBot="1" x14ac:dyDescent="0.4">
      <c r="A78" s="194" t="s">
        <v>45</v>
      </c>
      <c r="B78" s="176"/>
      <c r="C78" s="225">
        <v>8</v>
      </c>
      <c r="D78" s="231"/>
      <c r="E78" s="232" t="str">
        <f t="shared" si="4"/>
        <v/>
      </c>
      <c r="F78" s="232" t="str">
        <f>IF(J78='Factor Lookup'!$A$43,"",VLOOKUP(J78,'Factor Lookup'!$A$43:$B$47,2,))</f>
        <v/>
      </c>
      <c r="G78" s="232"/>
      <c r="H78" s="233"/>
      <c r="I78" s="232"/>
      <c r="J78" s="235" t="s">
        <v>44</v>
      </c>
      <c r="K78" s="224"/>
      <c r="L78" s="176"/>
      <c r="M78" s="238"/>
      <c r="N78" s="240" t="s">
        <v>46</v>
      </c>
    </row>
    <row r="79" spans="1:14" s="50" customFormat="1" ht="25" customHeight="1" thickTop="1" thickBot="1" x14ac:dyDescent="0.4">
      <c r="A79" s="194" t="s">
        <v>45</v>
      </c>
      <c r="B79" s="176"/>
      <c r="C79" s="225">
        <v>9</v>
      </c>
      <c r="D79" s="231"/>
      <c r="E79" s="232" t="str">
        <f t="shared" si="4"/>
        <v/>
      </c>
      <c r="F79" s="232" t="str">
        <f>IF(J79='Factor Lookup'!$A$43,"",VLOOKUP(J79,'Factor Lookup'!$A$43:$B$47,2,))</f>
        <v/>
      </c>
      <c r="G79" s="232"/>
      <c r="H79" s="233"/>
      <c r="I79" s="232"/>
      <c r="J79" s="235" t="s">
        <v>44</v>
      </c>
      <c r="K79" s="224"/>
      <c r="L79" s="176"/>
      <c r="M79" s="239"/>
      <c r="N79" s="240" t="s">
        <v>46</v>
      </c>
    </row>
    <row r="80" spans="1:14" ht="10" customHeight="1" thickTop="1" thickBot="1" x14ac:dyDescent="0.4">
      <c r="A80" s="169" t="str">
        <f>A70</f>
        <v>Print</v>
      </c>
      <c r="B80" s="176"/>
      <c r="D80" s="19"/>
      <c r="F80" s="20"/>
      <c r="G80" s="20"/>
      <c r="K80" s="15"/>
      <c r="L80" s="176"/>
    </row>
    <row r="81" spans="1:14" s="18" customFormat="1" ht="30" customHeight="1" thickTop="1" thickBot="1" x14ac:dyDescent="0.4">
      <c r="A81" s="194" t="s">
        <v>39</v>
      </c>
      <c r="B81" s="176"/>
      <c r="C81" s="16" t="s">
        <v>51</v>
      </c>
      <c r="D81" s="207" t="s">
        <v>41</v>
      </c>
      <c r="E81" s="220"/>
      <c r="F81" s="220"/>
      <c r="G81" s="221">
        <f>IF(I81=0,0,IF(COUNT(E82:E91)&lt;&gt;COUNT(F82:F91),0,IF(COUNT(F81:F91)=0,0,IF(I81=0,0,SUM(F81:F91)/COUNT(F81:F91)))))</f>
        <v>0</v>
      </c>
      <c r="H81" s="221">
        <f>IF(COUNT(E82:E91)&lt;&gt;COUNT(F82:F91),0,IF(AND(I81&gt;0,COUNT(F82:F91)=0),0,IF(I$137=0,0,IF(I81=0,0,(SUM(F82:F91)/COUNT(F82:F91))*I81/I$137))))</f>
        <v>0</v>
      </c>
      <c r="I81" s="222">
        <f>VLOOKUP(J81,'Factor Lookup'!$A$34:$B$38,2,)</f>
        <v>0</v>
      </c>
      <c r="J81" s="227" t="s">
        <v>42</v>
      </c>
      <c r="K81" s="17" t="str">
        <f>IF(OR(G81=0,H81=0),"Not Rated",IF(G81&lt;'Factor Lookup'!$A$53,'Factor Lookup'!$C$52,IF(AND(G81&gt;'Factor Lookup'!$B$52,G81&lt;'Factor Lookup'!$A$54),'Factor Lookup'!$C$53,'Factor Lookup'!$C$54)))</f>
        <v>Not Rated</v>
      </c>
      <c r="L81" s="176"/>
      <c r="M81" s="236" t="str">
        <f>IF(OR(J82="Requires Attention",J83="Requires Attention",J84="Requires Attention",J85="Requires Attention",J86="Requires Attention",J87="Requires Attention",J88="Requires Attention",J89="Requires Attention",J90="Requires Attention"),"Corrective Action","")</f>
        <v/>
      </c>
      <c r="N81" s="240" t="s">
        <v>46</v>
      </c>
    </row>
    <row r="82" spans="1:14" s="50" customFormat="1" ht="25" customHeight="1" thickTop="1" thickBot="1" x14ac:dyDescent="0.4">
      <c r="A82" s="194" t="s">
        <v>39</v>
      </c>
      <c r="B82" s="176"/>
      <c r="C82" s="223">
        <v>1</v>
      </c>
      <c r="D82" s="228"/>
      <c r="E82" s="229" t="str">
        <f t="shared" ref="E82:E90" si="5">IF(D82="","",1)</f>
        <v/>
      </c>
      <c r="F82" s="229" t="str">
        <f>IF(J82='Factor Lookup'!$A$43,"",VLOOKUP(J82,'Factor Lookup'!$A$43:$B$47,2,))</f>
        <v/>
      </c>
      <c r="G82" s="229"/>
      <c r="H82" s="230"/>
      <c r="I82" s="229"/>
      <c r="J82" s="234" t="s">
        <v>44</v>
      </c>
      <c r="K82" s="224"/>
      <c r="L82" s="176"/>
      <c r="M82" s="237"/>
      <c r="N82" s="240" t="s">
        <v>46</v>
      </c>
    </row>
    <row r="83" spans="1:14" s="50" customFormat="1" ht="25" customHeight="1" thickTop="1" thickBot="1" x14ac:dyDescent="0.4">
      <c r="A83" s="194" t="s">
        <v>39</v>
      </c>
      <c r="B83" s="176"/>
      <c r="C83" s="225">
        <v>2</v>
      </c>
      <c r="D83" s="231"/>
      <c r="E83" s="232" t="str">
        <f t="shared" si="5"/>
        <v/>
      </c>
      <c r="F83" s="232" t="str">
        <f>IF(J83='Factor Lookup'!$A$43,"",VLOOKUP(J83,'Factor Lookup'!$A$43:$B$47,2,))</f>
        <v/>
      </c>
      <c r="G83" s="232"/>
      <c r="H83" s="233"/>
      <c r="I83" s="232"/>
      <c r="J83" s="235" t="s">
        <v>44</v>
      </c>
      <c r="K83" s="224"/>
      <c r="L83" s="176"/>
      <c r="M83" s="238"/>
      <c r="N83" s="240" t="s">
        <v>46</v>
      </c>
    </row>
    <row r="84" spans="1:14" s="50" customFormat="1" ht="25" customHeight="1" thickTop="1" thickBot="1" x14ac:dyDescent="0.4">
      <c r="A84" s="194" t="s">
        <v>39</v>
      </c>
      <c r="B84" s="176"/>
      <c r="C84" s="225">
        <v>3</v>
      </c>
      <c r="D84" s="231"/>
      <c r="E84" s="232" t="str">
        <f t="shared" si="5"/>
        <v/>
      </c>
      <c r="F84" s="232" t="str">
        <f>IF(J84='Factor Lookup'!$A$43,"",VLOOKUP(J84,'Factor Lookup'!$A$43:$B$47,2,))</f>
        <v/>
      </c>
      <c r="G84" s="232"/>
      <c r="H84" s="233"/>
      <c r="I84" s="232"/>
      <c r="J84" s="235" t="s">
        <v>44</v>
      </c>
      <c r="K84" s="224"/>
      <c r="L84" s="176"/>
      <c r="M84" s="238"/>
      <c r="N84" s="240" t="s">
        <v>46</v>
      </c>
    </row>
    <row r="85" spans="1:14" s="50" customFormat="1" ht="25" customHeight="1" thickTop="1" thickBot="1" x14ac:dyDescent="0.4">
      <c r="A85" s="194" t="s">
        <v>39</v>
      </c>
      <c r="B85" s="176"/>
      <c r="C85" s="225">
        <v>4</v>
      </c>
      <c r="D85" s="231"/>
      <c r="E85" s="232" t="str">
        <f>IF(D85="","",1)</f>
        <v/>
      </c>
      <c r="F85" s="232" t="str">
        <f>IF(J85='Factor Lookup'!$A$43,"",VLOOKUP(J85,'Factor Lookup'!$A$43:$B$47,2,))</f>
        <v/>
      </c>
      <c r="G85" s="232"/>
      <c r="H85" s="233"/>
      <c r="I85" s="232"/>
      <c r="J85" s="235" t="s">
        <v>44</v>
      </c>
      <c r="K85" s="224"/>
      <c r="L85" s="176"/>
      <c r="M85" s="238"/>
      <c r="N85" s="240" t="s">
        <v>46</v>
      </c>
    </row>
    <row r="86" spans="1:14" s="50" customFormat="1" ht="25" customHeight="1" thickTop="1" thickBot="1" x14ac:dyDescent="0.4">
      <c r="A86" s="194" t="s">
        <v>45</v>
      </c>
      <c r="B86" s="176"/>
      <c r="C86" s="225">
        <v>5</v>
      </c>
      <c r="D86" s="231"/>
      <c r="E86" s="232" t="str">
        <f>IF(D86="","",1)</f>
        <v/>
      </c>
      <c r="F86" s="232" t="str">
        <f>IF(J86='Factor Lookup'!$A$43,"",VLOOKUP(J86,'Factor Lookup'!$A$43:$B$47,2,))</f>
        <v/>
      </c>
      <c r="G86" s="232"/>
      <c r="H86" s="233"/>
      <c r="I86" s="232"/>
      <c r="J86" s="235" t="s">
        <v>44</v>
      </c>
      <c r="K86" s="224"/>
      <c r="L86" s="176"/>
      <c r="M86" s="238"/>
      <c r="N86" s="240" t="s">
        <v>46</v>
      </c>
    </row>
    <row r="87" spans="1:14" s="50" customFormat="1" ht="25" customHeight="1" thickTop="1" thickBot="1" x14ac:dyDescent="0.4">
      <c r="A87" s="194" t="s">
        <v>45</v>
      </c>
      <c r="B87" s="176"/>
      <c r="C87" s="225">
        <v>6</v>
      </c>
      <c r="D87" s="231"/>
      <c r="E87" s="232" t="str">
        <f>IF(D87="","",1)</f>
        <v/>
      </c>
      <c r="F87" s="232" t="str">
        <f>IF(J87='Factor Lookup'!$A$43,"",VLOOKUP(J87,'Factor Lookup'!$A$43:$B$47,2,))</f>
        <v/>
      </c>
      <c r="G87" s="232"/>
      <c r="H87" s="233"/>
      <c r="I87" s="232"/>
      <c r="J87" s="235" t="s">
        <v>44</v>
      </c>
      <c r="K87" s="224"/>
      <c r="L87" s="176"/>
      <c r="M87" s="238"/>
      <c r="N87" s="240" t="s">
        <v>46</v>
      </c>
    </row>
    <row r="88" spans="1:14" s="50" customFormat="1" ht="25" customHeight="1" thickTop="1" thickBot="1" x14ac:dyDescent="0.4">
      <c r="A88" s="194" t="s">
        <v>45</v>
      </c>
      <c r="B88" s="176"/>
      <c r="C88" s="225">
        <v>7</v>
      </c>
      <c r="D88" s="231"/>
      <c r="E88" s="232" t="str">
        <f t="shared" si="5"/>
        <v/>
      </c>
      <c r="F88" s="232" t="str">
        <f>IF(J88='Factor Lookup'!$A$43,"",VLOOKUP(J88,'Factor Lookup'!$A$43:$B$47,2,))</f>
        <v/>
      </c>
      <c r="G88" s="232"/>
      <c r="H88" s="233"/>
      <c r="I88" s="232"/>
      <c r="J88" s="235" t="s">
        <v>44</v>
      </c>
      <c r="K88" s="224"/>
      <c r="L88" s="176"/>
      <c r="M88" s="238"/>
      <c r="N88" s="240" t="s">
        <v>46</v>
      </c>
    </row>
    <row r="89" spans="1:14" s="50" customFormat="1" ht="25" customHeight="1" thickTop="1" thickBot="1" x14ac:dyDescent="0.4">
      <c r="A89" s="194" t="s">
        <v>45</v>
      </c>
      <c r="B89" s="176"/>
      <c r="C89" s="225">
        <v>8</v>
      </c>
      <c r="D89" s="231"/>
      <c r="E89" s="232" t="str">
        <f t="shared" si="5"/>
        <v/>
      </c>
      <c r="F89" s="232" t="str">
        <f>IF(J89='Factor Lookup'!$A$43,"",VLOOKUP(J89,'Factor Lookup'!$A$43:$B$47,2,))</f>
        <v/>
      </c>
      <c r="G89" s="232"/>
      <c r="H89" s="233"/>
      <c r="I89" s="232"/>
      <c r="J89" s="235" t="s">
        <v>44</v>
      </c>
      <c r="K89" s="224"/>
      <c r="L89" s="176"/>
      <c r="M89" s="238"/>
      <c r="N89" s="240" t="s">
        <v>46</v>
      </c>
    </row>
    <row r="90" spans="1:14" s="50" customFormat="1" ht="25" customHeight="1" thickTop="1" thickBot="1" x14ac:dyDescent="0.4">
      <c r="A90" s="194" t="s">
        <v>45</v>
      </c>
      <c r="B90" s="176"/>
      <c r="C90" s="225">
        <v>9</v>
      </c>
      <c r="D90" s="231"/>
      <c r="E90" s="232" t="str">
        <f t="shared" si="5"/>
        <v/>
      </c>
      <c r="F90" s="232" t="str">
        <f>IF(J90='Factor Lookup'!$A$43,"",VLOOKUP(J90,'Factor Lookup'!$A$43:$B$47,2,))</f>
        <v/>
      </c>
      <c r="G90" s="232"/>
      <c r="H90" s="233"/>
      <c r="I90" s="232"/>
      <c r="J90" s="235" t="s">
        <v>44</v>
      </c>
      <c r="K90" s="224"/>
      <c r="L90" s="176"/>
      <c r="M90" s="239"/>
      <c r="N90" s="240" t="s">
        <v>46</v>
      </c>
    </row>
    <row r="91" spans="1:14" ht="10" customHeight="1" thickTop="1" thickBot="1" x14ac:dyDescent="0.4">
      <c r="A91" s="169" t="str">
        <f>A81</f>
        <v>Print</v>
      </c>
      <c r="B91" s="176"/>
      <c r="D91" s="19"/>
      <c r="F91" s="20"/>
      <c r="G91" s="20"/>
      <c r="K91" s="15"/>
      <c r="L91" s="176"/>
    </row>
    <row r="92" spans="1:14" s="18" customFormat="1" ht="30" customHeight="1" thickTop="1" thickBot="1" x14ac:dyDescent="0.4">
      <c r="A92" s="194" t="s">
        <v>45</v>
      </c>
      <c r="B92" s="176"/>
      <c r="C92" s="16" t="s">
        <v>52</v>
      </c>
      <c r="D92" s="207" t="s">
        <v>41</v>
      </c>
      <c r="E92" s="220"/>
      <c r="F92" s="220"/>
      <c r="G92" s="221">
        <f>IF(I92=0,0,IF(COUNT(E93:E102)&lt;&gt;COUNT(F93:F102),0,IF(COUNT(F92:F102)=0,0,IF(I92=0,0,SUM(F92:F102)/COUNT(F92:F102)))))</f>
        <v>0</v>
      </c>
      <c r="H92" s="221">
        <f>IF(COUNT(E93:E102)&lt;&gt;COUNT(F93:F102),0,IF(AND(I92&gt;0,COUNT(F93:F102)=0),0,IF(I$137=0,0,IF(I92=0,0,(SUM(F93:F102)/COUNT(F93:F102))*I92/I$137))))</f>
        <v>0</v>
      </c>
      <c r="I92" s="222">
        <f>VLOOKUP(J92,'Factor Lookup'!$A$34:$B$38,2,)</f>
        <v>0</v>
      </c>
      <c r="J92" s="227" t="s">
        <v>42</v>
      </c>
      <c r="K92" s="17" t="str">
        <f>IF(OR(G92=0,H92=0),"Not Rated",IF(G92&lt;'Factor Lookup'!$A$53,'Factor Lookup'!$C$52,IF(AND(G92&gt;'Factor Lookup'!$B$52,G92&lt;'Factor Lookup'!$A$54),'Factor Lookup'!$C$53,'Factor Lookup'!$C$54)))</f>
        <v>Not Rated</v>
      </c>
      <c r="L92" s="176"/>
      <c r="M92" s="236" t="str">
        <f>IF(OR(J93="Requires Attention",J94="Requires Attention",J95="Requires Attention",J96="Requires Attention",J97="Requires Attention",J98="Requires Attention",J99="Requires Attention",J100="Requires Attention",J101="Requires Attention"),"Corrective Action","")</f>
        <v/>
      </c>
      <c r="N92" s="240" t="s">
        <v>46</v>
      </c>
    </row>
    <row r="93" spans="1:14" s="50" customFormat="1" ht="25" customHeight="1" thickTop="1" thickBot="1" x14ac:dyDescent="0.4">
      <c r="A93" s="194" t="s">
        <v>45</v>
      </c>
      <c r="B93" s="176"/>
      <c r="C93" s="223">
        <v>1</v>
      </c>
      <c r="D93" s="228"/>
      <c r="E93" s="229" t="str">
        <f t="shared" ref="E93:E101" si="6">IF(D93="","",1)</f>
        <v/>
      </c>
      <c r="F93" s="229" t="str">
        <f>IF(J93='Factor Lookup'!$A$43,"",VLOOKUP(J93,'Factor Lookup'!$A$43:$B$47,2,))</f>
        <v/>
      </c>
      <c r="G93" s="229"/>
      <c r="H93" s="230"/>
      <c r="I93" s="229"/>
      <c r="J93" s="234" t="s">
        <v>44</v>
      </c>
      <c r="K93" s="224"/>
      <c r="L93" s="176"/>
      <c r="M93" s="237"/>
      <c r="N93" s="240" t="s">
        <v>46</v>
      </c>
    </row>
    <row r="94" spans="1:14" s="50" customFormat="1" ht="25" customHeight="1" thickTop="1" thickBot="1" x14ac:dyDescent="0.4">
      <c r="A94" s="194" t="s">
        <v>45</v>
      </c>
      <c r="B94" s="176"/>
      <c r="C94" s="225">
        <v>2</v>
      </c>
      <c r="D94" s="231"/>
      <c r="E94" s="232" t="str">
        <f t="shared" si="6"/>
        <v/>
      </c>
      <c r="F94" s="232" t="str">
        <f>IF(J94='Factor Lookup'!$A$43,"",VLOOKUP(J94,'Factor Lookup'!$A$43:$B$47,2,))</f>
        <v/>
      </c>
      <c r="G94" s="232"/>
      <c r="H94" s="233"/>
      <c r="I94" s="232"/>
      <c r="J94" s="235" t="s">
        <v>44</v>
      </c>
      <c r="K94" s="224"/>
      <c r="L94" s="176"/>
      <c r="M94" s="238"/>
      <c r="N94" s="240" t="s">
        <v>46</v>
      </c>
    </row>
    <row r="95" spans="1:14" s="50" customFormat="1" ht="25" customHeight="1" thickTop="1" thickBot="1" x14ac:dyDescent="0.4">
      <c r="A95" s="194" t="s">
        <v>45</v>
      </c>
      <c r="B95" s="176"/>
      <c r="C95" s="225">
        <v>3</v>
      </c>
      <c r="D95" s="231"/>
      <c r="E95" s="232" t="str">
        <f t="shared" si="6"/>
        <v/>
      </c>
      <c r="F95" s="232" t="str">
        <f>IF(J95='Factor Lookup'!$A$43,"",VLOOKUP(J95,'Factor Lookup'!$A$43:$B$47,2,))</f>
        <v/>
      </c>
      <c r="G95" s="232"/>
      <c r="H95" s="233"/>
      <c r="I95" s="232"/>
      <c r="J95" s="235" t="s">
        <v>44</v>
      </c>
      <c r="K95" s="224"/>
      <c r="L95" s="176"/>
      <c r="M95" s="238"/>
      <c r="N95" s="240" t="s">
        <v>46</v>
      </c>
    </row>
    <row r="96" spans="1:14" s="50" customFormat="1" ht="25" customHeight="1" thickTop="1" thickBot="1" x14ac:dyDescent="0.4">
      <c r="A96" s="194" t="s">
        <v>45</v>
      </c>
      <c r="B96" s="176"/>
      <c r="C96" s="225">
        <v>4</v>
      </c>
      <c r="D96" s="231"/>
      <c r="E96" s="232" t="str">
        <f>IF(D96="","",1)</f>
        <v/>
      </c>
      <c r="F96" s="232" t="str">
        <f>IF(J96='Factor Lookup'!$A$43,"",VLOOKUP(J96,'Factor Lookup'!$A$43:$B$47,2,))</f>
        <v/>
      </c>
      <c r="G96" s="232"/>
      <c r="H96" s="233"/>
      <c r="I96" s="232"/>
      <c r="J96" s="235" t="s">
        <v>44</v>
      </c>
      <c r="K96" s="224"/>
      <c r="L96" s="176"/>
      <c r="M96" s="238"/>
      <c r="N96" s="240" t="s">
        <v>46</v>
      </c>
    </row>
    <row r="97" spans="1:14" s="50" customFormat="1" ht="25" customHeight="1" thickTop="1" thickBot="1" x14ac:dyDescent="0.4">
      <c r="A97" s="194" t="s">
        <v>45</v>
      </c>
      <c r="B97" s="176"/>
      <c r="C97" s="225">
        <v>5</v>
      </c>
      <c r="D97" s="231"/>
      <c r="E97" s="232" t="str">
        <f>IF(D97="","",1)</f>
        <v/>
      </c>
      <c r="F97" s="232" t="str">
        <f>IF(J97='Factor Lookup'!$A$43,"",VLOOKUP(J97,'Factor Lookup'!$A$43:$B$47,2,))</f>
        <v/>
      </c>
      <c r="G97" s="232"/>
      <c r="H97" s="233"/>
      <c r="I97" s="232"/>
      <c r="J97" s="235" t="s">
        <v>44</v>
      </c>
      <c r="K97" s="224"/>
      <c r="L97" s="176"/>
      <c r="M97" s="238"/>
      <c r="N97" s="240" t="s">
        <v>46</v>
      </c>
    </row>
    <row r="98" spans="1:14" s="50" customFormat="1" ht="25" customHeight="1" thickTop="1" thickBot="1" x14ac:dyDescent="0.4">
      <c r="A98" s="194" t="s">
        <v>45</v>
      </c>
      <c r="B98" s="176"/>
      <c r="C98" s="225">
        <v>6</v>
      </c>
      <c r="D98" s="231"/>
      <c r="E98" s="232" t="str">
        <f>IF(D98="","",1)</f>
        <v/>
      </c>
      <c r="F98" s="232" t="str">
        <f>IF(J98='Factor Lookup'!$A$43,"",VLOOKUP(J98,'Factor Lookup'!$A$43:$B$47,2,))</f>
        <v/>
      </c>
      <c r="G98" s="232"/>
      <c r="H98" s="233"/>
      <c r="I98" s="232"/>
      <c r="J98" s="235" t="s">
        <v>44</v>
      </c>
      <c r="K98" s="224"/>
      <c r="L98" s="176"/>
      <c r="M98" s="238"/>
      <c r="N98" s="240" t="s">
        <v>46</v>
      </c>
    </row>
    <row r="99" spans="1:14" s="50" customFormat="1" ht="25" customHeight="1" thickTop="1" thickBot="1" x14ac:dyDescent="0.4">
      <c r="A99" s="194" t="s">
        <v>45</v>
      </c>
      <c r="B99" s="176"/>
      <c r="C99" s="225">
        <v>7</v>
      </c>
      <c r="D99" s="231"/>
      <c r="E99" s="232" t="str">
        <f t="shared" si="6"/>
        <v/>
      </c>
      <c r="F99" s="232" t="str">
        <f>IF(J99='Factor Lookup'!$A$43,"",VLOOKUP(J99,'Factor Lookup'!$A$43:$B$47,2,))</f>
        <v/>
      </c>
      <c r="G99" s="232"/>
      <c r="H99" s="233"/>
      <c r="I99" s="232"/>
      <c r="J99" s="235" t="s">
        <v>44</v>
      </c>
      <c r="K99" s="224"/>
      <c r="L99" s="176"/>
      <c r="M99" s="238"/>
      <c r="N99" s="240" t="s">
        <v>46</v>
      </c>
    </row>
    <row r="100" spans="1:14" s="50" customFormat="1" ht="25" customHeight="1" thickTop="1" thickBot="1" x14ac:dyDescent="0.4">
      <c r="A100" s="194" t="s">
        <v>45</v>
      </c>
      <c r="B100" s="176"/>
      <c r="C100" s="225">
        <v>8</v>
      </c>
      <c r="D100" s="231"/>
      <c r="E100" s="232" t="str">
        <f t="shared" si="6"/>
        <v/>
      </c>
      <c r="F100" s="232" t="str">
        <f>IF(J100='Factor Lookup'!$A$43,"",VLOOKUP(J100,'Factor Lookup'!$A$43:$B$47,2,))</f>
        <v/>
      </c>
      <c r="G100" s="232"/>
      <c r="H100" s="233"/>
      <c r="I100" s="232"/>
      <c r="J100" s="235" t="s">
        <v>44</v>
      </c>
      <c r="K100" s="224"/>
      <c r="L100" s="176"/>
      <c r="M100" s="238"/>
      <c r="N100" s="240" t="s">
        <v>46</v>
      </c>
    </row>
    <row r="101" spans="1:14" s="50" customFormat="1" ht="25" customHeight="1" thickTop="1" thickBot="1" x14ac:dyDescent="0.4">
      <c r="A101" s="194" t="s">
        <v>45</v>
      </c>
      <c r="B101" s="176"/>
      <c r="C101" s="225">
        <v>9</v>
      </c>
      <c r="D101" s="231"/>
      <c r="E101" s="232" t="str">
        <f t="shared" si="6"/>
        <v/>
      </c>
      <c r="F101" s="232" t="str">
        <f>IF(J101='Factor Lookup'!$A$43,"",VLOOKUP(J101,'Factor Lookup'!$A$43:$B$47,2,))</f>
        <v/>
      </c>
      <c r="G101" s="232"/>
      <c r="H101" s="233"/>
      <c r="I101" s="232"/>
      <c r="J101" s="235" t="s">
        <v>44</v>
      </c>
      <c r="K101" s="224"/>
      <c r="L101" s="176"/>
      <c r="M101" s="239"/>
      <c r="N101" s="240" t="s">
        <v>46</v>
      </c>
    </row>
    <row r="102" spans="1:14" ht="10" customHeight="1" thickTop="1" thickBot="1" x14ac:dyDescent="0.4">
      <c r="A102" s="169" t="str">
        <f>A92</f>
        <v>-----</v>
      </c>
      <c r="B102" s="176"/>
      <c r="D102" s="19"/>
      <c r="F102" s="20"/>
      <c r="G102" s="20"/>
      <c r="K102" s="15"/>
      <c r="L102" s="176"/>
    </row>
    <row r="103" spans="1:14" s="18" customFormat="1" ht="30" customHeight="1" thickTop="1" thickBot="1" x14ac:dyDescent="0.4">
      <c r="A103" s="194" t="s">
        <v>45</v>
      </c>
      <c r="B103" s="176"/>
      <c r="C103" s="16" t="s">
        <v>53</v>
      </c>
      <c r="D103" s="207" t="s">
        <v>41</v>
      </c>
      <c r="E103" s="220"/>
      <c r="F103" s="220"/>
      <c r="G103" s="221">
        <f>IF(I103=0,0,IF(COUNT(E104:E113)&lt;&gt;COUNT(F104:F113),0,IF(COUNT(F103:F113)=0,0,IF(I103=0,0,SUM(F103:F113)/COUNT(F103:F113)))))</f>
        <v>0</v>
      </c>
      <c r="H103" s="221">
        <f>IF(COUNT(E104:E113)&lt;&gt;COUNT(F104:F113),0,IF(AND(I103&gt;0,COUNT(F104:F113)=0),0,IF(I$137=0,0,IF(I103=0,0,(SUM(F104:F113)/COUNT(F104:F113))*I103/I$137))))</f>
        <v>0</v>
      </c>
      <c r="I103" s="222">
        <f>VLOOKUP(J103,'Factor Lookup'!$A$34:$B$38,2,)</f>
        <v>0</v>
      </c>
      <c r="J103" s="227" t="s">
        <v>42</v>
      </c>
      <c r="K103" s="17" t="str">
        <f>IF(OR(G103=0,H103=0),"Not Rated",IF(G103&lt;'Factor Lookup'!$A$53,'Factor Lookup'!$C$52,IF(AND(G103&gt;'Factor Lookup'!$B$52,G103&lt;'Factor Lookup'!$A$54),'Factor Lookup'!$C$53,'Factor Lookup'!$C$54)))</f>
        <v>Not Rated</v>
      </c>
      <c r="L103" s="176"/>
      <c r="M103" s="236" t="str">
        <f>IF(OR(J104="Requires Attention",J105="Requires Attention",J106="Requires Attention",J107="Requires Attention",J108="Requires Attention",J109="Requires Attention",J110="Requires Attention",J111="Requires Attention",J112="Requires Attention"),"Corrective Action","")</f>
        <v/>
      </c>
      <c r="N103" s="240" t="s">
        <v>46</v>
      </c>
    </row>
    <row r="104" spans="1:14" s="50" customFormat="1" ht="25" customHeight="1" thickTop="1" thickBot="1" x14ac:dyDescent="0.4">
      <c r="A104" s="194" t="s">
        <v>45</v>
      </c>
      <c r="B104" s="176"/>
      <c r="C104" s="223">
        <v>1</v>
      </c>
      <c r="D104" s="228"/>
      <c r="E104" s="229" t="str">
        <f t="shared" ref="E104:E112" si="7">IF(D104="","",1)</f>
        <v/>
      </c>
      <c r="F104" s="229" t="str">
        <f>IF(J104='Factor Lookup'!$A$43,"",VLOOKUP(J104,'Factor Lookup'!$A$43:$B$47,2,))</f>
        <v/>
      </c>
      <c r="G104" s="229"/>
      <c r="H104" s="230"/>
      <c r="I104" s="229"/>
      <c r="J104" s="234" t="s">
        <v>44</v>
      </c>
      <c r="K104" s="224"/>
      <c r="L104" s="176"/>
      <c r="M104" s="237"/>
      <c r="N104" s="240" t="s">
        <v>46</v>
      </c>
    </row>
    <row r="105" spans="1:14" s="50" customFormat="1" ht="25" customHeight="1" thickTop="1" thickBot="1" x14ac:dyDescent="0.4">
      <c r="A105" s="194" t="s">
        <v>45</v>
      </c>
      <c r="B105" s="176"/>
      <c r="C105" s="225">
        <v>2</v>
      </c>
      <c r="D105" s="231"/>
      <c r="E105" s="232" t="str">
        <f t="shared" si="7"/>
        <v/>
      </c>
      <c r="F105" s="232" t="str">
        <f>IF(J105='Factor Lookup'!$A$43,"",VLOOKUP(J105,'Factor Lookup'!$A$43:$B$47,2,))</f>
        <v/>
      </c>
      <c r="G105" s="232"/>
      <c r="H105" s="233"/>
      <c r="I105" s="232"/>
      <c r="J105" s="235" t="s">
        <v>44</v>
      </c>
      <c r="K105" s="224"/>
      <c r="L105" s="176"/>
      <c r="M105" s="238"/>
      <c r="N105" s="240" t="s">
        <v>46</v>
      </c>
    </row>
    <row r="106" spans="1:14" s="50" customFormat="1" ht="25" customHeight="1" thickTop="1" thickBot="1" x14ac:dyDescent="0.4">
      <c r="A106" s="194" t="s">
        <v>45</v>
      </c>
      <c r="B106" s="176"/>
      <c r="C106" s="225">
        <v>3</v>
      </c>
      <c r="D106" s="231"/>
      <c r="E106" s="232" t="str">
        <f t="shared" si="7"/>
        <v/>
      </c>
      <c r="F106" s="232" t="str">
        <f>IF(J106='Factor Lookup'!$A$43,"",VLOOKUP(J106,'Factor Lookup'!$A$43:$B$47,2,))</f>
        <v/>
      </c>
      <c r="G106" s="232"/>
      <c r="H106" s="233"/>
      <c r="I106" s="232"/>
      <c r="J106" s="235" t="s">
        <v>44</v>
      </c>
      <c r="K106" s="224"/>
      <c r="L106" s="176"/>
      <c r="M106" s="238"/>
      <c r="N106" s="240" t="s">
        <v>46</v>
      </c>
    </row>
    <row r="107" spans="1:14" s="50" customFormat="1" ht="25" customHeight="1" thickTop="1" thickBot="1" x14ac:dyDescent="0.4">
      <c r="A107" s="194" t="s">
        <v>45</v>
      </c>
      <c r="B107" s="176"/>
      <c r="C107" s="225">
        <v>4</v>
      </c>
      <c r="D107" s="231"/>
      <c r="E107" s="232" t="str">
        <f>IF(D107="","",1)</f>
        <v/>
      </c>
      <c r="F107" s="232" t="str">
        <f>IF(J107='Factor Lookup'!$A$43,"",VLOOKUP(J107,'Factor Lookup'!$A$43:$B$47,2,))</f>
        <v/>
      </c>
      <c r="G107" s="232"/>
      <c r="H107" s="233"/>
      <c r="I107" s="232"/>
      <c r="J107" s="235" t="s">
        <v>44</v>
      </c>
      <c r="K107" s="224"/>
      <c r="L107" s="176"/>
      <c r="M107" s="238"/>
      <c r="N107" s="240" t="s">
        <v>46</v>
      </c>
    </row>
    <row r="108" spans="1:14" s="50" customFormat="1" ht="25" customHeight="1" thickTop="1" thickBot="1" x14ac:dyDescent="0.4">
      <c r="A108" s="194" t="s">
        <v>45</v>
      </c>
      <c r="B108" s="176"/>
      <c r="C108" s="225">
        <v>5</v>
      </c>
      <c r="D108" s="231"/>
      <c r="E108" s="232" t="str">
        <f>IF(D108="","",1)</f>
        <v/>
      </c>
      <c r="F108" s="232" t="str">
        <f>IF(J108='Factor Lookup'!$A$43,"",VLOOKUP(J108,'Factor Lookup'!$A$43:$B$47,2,))</f>
        <v/>
      </c>
      <c r="G108" s="232"/>
      <c r="H108" s="233"/>
      <c r="I108" s="232"/>
      <c r="J108" s="235" t="s">
        <v>44</v>
      </c>
      <c r="K108" s="224"/>
      <c r="L108" s="176"/>
      <c r="M108" s="238"/>
      <c r="N108" s="240" t="s">
        <v>46</v>
      </c>
    </row>
    <row r="109" spans="1:14" s="50" customFormat="1" ht="25" customHeight="1" thickTop="1" thickBot="1" x14ac:dyDescent="0.4">
      <c r="A109" s="194" t="s">
        <v>45</v>
      </c>
      <c r="B109" s="176"/>
      <c r="C109" s="225">
        <v>6</v>
      </c>
      <c r="D109" s="231"/>
      <c r="E109" s="232" t="str">
        <f>IF(D109="","",1)</f>
        <v/>
      </c>
      <c r="F109" s="232" t="str">
        <f>IF(J109='Factor Lookup'!$A$43,"",VLOOKUP(J109,'Factor Lookup'!$A$43:$B$47,2,))</f>
        <v/>
      </c>
      <c r="G109" s="232"/>
      <c r="H109" s="233"/>
      <c r="I109" s="232"/>
      <c r="J109" s="235" t="s">
        <v>44</v>
      </c>
      <c r="K109" s="224"/>
      <c r="L109" s="176"/>
      <c r="M109" s="238"/>
      <c r="N109" s="240" t="s">
        <v>46</v>
      </c>
    </row>
    <row r="110" spans="1:14" s="50" customFormat="1" ht="25" customHeight="1" thickTop="1" thickBot="1" x14ac:dyDescent="0.4">
      <c r="A110" s="194" t="s">
        <v>45</v>
      </c>
      <c r="B110" s="176"/>
      <c r="C110" s="225">
        <v>7</v>
      </c>
      <c r="D110" s="231"/>
      <c r="E110" s="232" t="str">
        <f>IF(D110="","",1)</f>
        <v/>
      </c>
      <c r="F110" s="232" t="str">
        <f>IF(J110='Factor Lookup'!$A$43,"",VLOOKUP(J110,'Factor Lookup'!$A$43:$B$47,2,))</f>
        <v/>
      </c>
      <c r="G110" s="232"/>
      <c r="H110" s="233"/>
      <c r="I110" s="232"/>
      <c r="J110" s="235" t="s">
        <v>44</v>
      </c>
      <c r="K110" s="224"/>
      <c r="L110" s="176"/>
      <c r="M110" s="238"/>
      <c r="N110" s="240" t="s">
        <v>46</v>
      </c>
    </row>
    <row r="111" spans="1:14" s="50" customFormat="1" ht="25" customHeight="1" thickTop="1" thickBot="1" x14ac:dyDescent="0.4">
      <c r="A111" s="194" t="s">
        <v>45</v>
      </c>
      <c r="B111" s="176"/>
      <c r="C111" s="225">
        <v>8</v>
      </c>
      <c r="D111" s="231"/>
      <c r="E111" s="232" t="str">
        <f t="shared" si="7"/>
        <v/>
      </c>
      <c r="F111" s="232" t="str">
        <f>IF(J111='Factor Lookup'!$A$43,"",VLOOKUP(J111,'Factor Lookup'!$A$43:$B$47,2,))</f>
        <v/>
      </c>
      <c r="G111" s="232"/>
      <c r="H111" s="233"/>
      <c r="I111" s="232"/>
      <c r="J111" s="235" t="s">
        <v>44</v>
      </c>
      <c r="K111" s="224"/>
      <c r="L111" s="176"/>
      <c r="M111" s="238"/>
      <c r="N111" s="240" t="s">
        <v>46</v>
      </c>
    </row>
    <row r="112" spans="1:14" s="50" customFormat="1" ht="25" customHeight="1" thickTop="1" thickBot="1" x14ac:dyDescent="0.4">
      <c r="A112" s="194" t="s">
        <v>45</v>
      </c>
      <c r="B112" s="176"/>
      <c r="C112" s="225">
        <v>9</v>
      </c>
      <c r="D112" s="231"/>
      <c r="E112" s="232" t="str">
        <f t="shared" si="7"/>
        <v/>
      </c>
      <c r="F112" s="232" t="str">
        <f>IF(J112='Factor Lookup'!$A$43,"",VLOOKUP(J112,'Factor Lookup'!$A$43:$B$47,2,))</f>
        <v/>
      </c>
      <c r="G112" s="232"/>
      <c r="H112" s="233"/>
      <c r="I112" s="232"/>
      <c r="J112" s="235" t="s">
        <v>44</v>
      </c>
      <c r="K112" s="224"/>
      <c r="L112" s="176"/>
      <c r="M112" s="239"/>
      <c r="N112" s="240" t="s">
        <v>46</v>
      </c>
    </row>
    <row r="113" spans="1:14" ht="10" customHeight="1" thickTop="1" thickBot="1" x14ac:dyDescent="0.4">
      <c r="A113" s="169" t="str">
        <f>A103</f>
        <v>-----</v>
      </c>
      <c r="B113" s="176"/>
      <c r="D113" s="19"/>
      <c r="F113" s="20"/>
      <c r="G113" s="20"/>
      <c r="K113" s="15"/>
      <c r="L113" s="176"/>
    </row>
    <row r="114" spans="1:14" s="18" customFormat="1" ht="30" customHeight="1" thickTop="1" thickBot="1" x14ac:dyDescent="0.4">
      <c r="A114" s="194" t="s">
        <v>45</v>
      </c>
      <c r="B114" s="176"/>
      <c r="C114" s="16" t="s">
        <v>54</v>
      </c>
      <c r="D114" s="207" t="s">
        <v>41</v>
      </c>
      <c r="E114" s="220"/>
      <c r="F114" s="220"/>
      <c r="G114" s="221">
        <f>IF(I114=0,0,IF(COUNT(E115:E124)&lt;&gt;COUNT(F115:F124),0,IF(COUNT(F114:F124)=0,0,IF(I114=0,0,SUM(F114:F124)/COUNT(F114:F124)))))</f>
        <v>0</v>
      </c>
      <c r="H114" s="221">
        <f>IF(COUNT(E115:E124)&lt;&gt;COUNT(F115:F124),0,IF(AND(I114&gt;0,COUNT(F115:F124)=0),0,IF(I$137=0,0,IF(I114=0,0,(SUM(F115:F124)/COUNT(F115:F124))*I114/I$137))))</f>
        <v>0</v>
      </c>
      <c r="I114" s="222">
        <f>VLOOKUP(J114,'Factor Lookup'!$A$34:$B$38,2,)</f>
        <v>0</v>
      </c>
      <c r="J114" s="227" t="s">
        <v>42</v>
      </c>
      <c r="K114" s="17" t="str">
        <f>IF(OR(G114=0,H114=0),"Not Rated",IF(G114&lt;'Factor Lookup'!$A$53,'Factor Lookup'!$C$52,IF(AND(G114&gt;'Factor Lookup'!$B$52,G114&lt;'Factor Lookup'!$A$54),'Factor Lookup'!$C$53,'Factor Lookup'!$C$54)))</f>
        <v>Not Rated</v>
      </c>
      <c r="L114" s="176"/>
      <c r="M114" s="236" t="str">
        <f>IF(OR(J115="Requires Attention",J116="Requires Attention",J117="Requires Attention",J118="Requires Attention",J119="Requires Attention",J120="Requires Attention",J121="Requires Attention",J122="Requires Attention",J123="Requires Attention"),"Corrective Action","")</f>
        <v/>
      </c>
      <c r="N114" s="240" t="s">
        <v>46</v>
      </c>
    </row>
    <row r="115" spans="1:14" s="50" customFormat="1" ht="25" customHeight="1" thickTop="1" thickBot="1" x14ac:dyDescent="0.4">
      <c r="A115" s="194" t="s">
        <v>45</v>
      </c>
      <c r="B115" s="176"/>
      <c r="C115" s="223">
        <v>1</v>
      </c>
      <c r="D115" s="228"/>
      <c r="E115" s="229" t="str">
        <f t="shared" ref="E115:E123" si="8">IF(D115="","",1)</f>
        <v/>
      </c>
      <c r="F115" s="229" t="str">
        <f>IF(J115='Factor Lookup'!$A$43,"",VLOOKUP(J115,'Factor Lookup'!$A$43:$B$47,2,))</f>
        <v/>
      </c>
      <c r="G115" s="229"/>
      <c r="H115" s="230"/>
      <c r="I115" s="229"/>
      <c r="J115" s="234" t="s">
        <v>44</v>
      </c>
      <c r="K115" s="224"/>
      <c r="L115" s="176"/>
      <c r="M115" s="237"/>
      <c r="N115" s="240" t="s">
        <v>46</v>
      </c>
    </row>
    <row r="116" spans="1:14" s="50" customFormat="1" ht="25" customHeight="1" thickTop="1" thickBot="1" x14ac:dyDescent="0.4">
      <c r="A116" s="194" t="s">
        <v>45</v>
      </c>
      <c r="B116" s="176"/>
      <c r="C116" s="225">
        <v>2</v>
      </c>
      <c r="D116" s="231"/>
      <c r="E116" s="232" t="str">
        <f t="shared" si="8"/>
        <v/>
      </c>
      <c r="F116" s="232" t="str">
        <f>IF(J116='Factor Lookup'!$A$43,"",VLOOKUP(J116,'Factor Lookup'!$A$43:$B$47,2,))</f>
        <v/>
      </c>
      <c r="G116" s="232"/>
      <c r="H116" s="233"/>
      <c r="I116" s="232"/>
      <c r="J116" s="235" t="s">
        <v>44</v>
      </c>
      <c r="K116" s="224"/>
      <c r="L116" s="176"/>
      <c r="M116" s="238"/>
      <c r="N116" s="240" t="s">
        <v>46</v>
      </c>
    </row>
    <row r="117" spans="1:14" s="50" customFormat="1" ht="25" customHeight="1" thickTop="1" thickBot="1" x14ac:dyDescent="0.4">
      <c r="A117" s="194" t="s">
        <v>45</v>
      </c>
      <c r="B117" s="176"/>
      <c r="C117" s="225">
        <v>3</v>
      </c>
      <c r="D117" s="231"/>
      <c r="E117" s="232" t="str">
        <f t="shared" si="8"/>
        <v/>
      </c>
      <c r="F117" s="232" t="str">
        <f>IF(J117='Factor Lookup'!$A$43,"",VLOOKUP(J117,'Factor Lookup'!$A$43:$B$47,2,))</f>
        <v/>
      </c>
      <c r="G117" s="232"/>
      <c r="H117" s="233"/>
      <c r="I117" s="232"/>
      <c r="J117" s="235" t="s">
        <v>44</v>
      </c>
      <c r="K117" s="224"/>
      <c r="L117" s="176"/>
      <c r="M117" s="238"/>
      <c r="N117" s="240" t="s">
        <v>46</v>
      </c>
    </row>
    <row r="118" spans="1:14" s="50" customFormat="1" ht="25" customHeight="1" thickTop="1" thickBot="1" x14ac:dyDescent="0.4">
      <c r="A118" s="194" t="s">
        <v>45</v>
      </c>
      <c r="B118" s="176"/>
      <c r="C118" s="225">
        <v>4</v>
      </c>
      <c r="D118" s="231"/>
      <c r="E118" s="232" t="str">
        <f>IF(D118="","",1)</f>
        <v/>
      </c>
      <c r="F118" s="232" t="str">
        <f>IF(J118='Factor Lookup'!$A$43,"",VLOOKUP(J118,'Factor Lookup'!$A$43:$B$47,2,))</f>
        <v/>
      </c>
      <c r="G118" s="232"/>
      <c r="H118" s="233"/>
      <c r="I118" s="232"/>
      <c r="J118" s="235" t="s">
        <v>44</v>
      </c>
      <c r="K118" s="224"/>
      <c r="L118" s="176"/>
      <c r="M118" s="238"/>
      <c r="N118" s="240" t="s">
        <v>46</v>
      </c>
    </row>
    <row r="119" spans="1:14" s="50" customFormat="1" ht="25" customHeight="1" thickTop="1" thickBot="1" x14ac:dyDescent="0.4">
      <c r="A119" s="194" t="s">
        <v>45</v>
      </c>
      <c r="B119" s="176"/>
      <c r="C119" s="225">
        <v>5</v>
      </c>
      <c r="D119" s="231"/>
      <c r="E119" s="232" t="str">
        <f>IF(D119="","",1)</f>
        <v/>
      </c>
      <c r="F119" s="232" t="str">
        <f>IF(J119='Factor Lookup'!$A$43,"",VLOOKUP(J119,'Factor Lookup'!$A$43:$B$47,2,))</f>
        <v/>
      </c>
      <c r="G119" s="232"/>
      <c r="H119" s="233"/>
      <c r="I119" s="232"/>
      <c r="J119" s="235" t="s">
        <v>44</v>
      </c>
      <c r="K119" s="224"/>
      <c r="L119" s="176"/>
      <c r="M119" s="238"/>
      <c r="N119" s="240" t="s">
        <v>46</v>
      </c>
    </row>
    <row r="120" spans="1:14" s="50" customFormat="1" ht="25" customHeight="1" thickTop="1" thickBot="1" x14ac:dyDescent="0.4">
      <c r="A120" s="194" t="s">
        <v>45</v>
      </c>
      <c r="B120" s="176"/>
      <c r="C120" s="225">
        <v>6</v>
      </c>
      <c r="D120" s="231"/>
      <c r="E120" s="232" t="str">
        <f>IF(D120="","",1)</f>
        <v/>
      </c>
      <c r="F120" s="232" t="str">
        <f>IF(J120='Factor Lookup'!$A$43,"",VLOOKUP(J120,'Factor Lookup'!$A$43:$B$47,2,))</f>
        <v/>
      </c>
      <c r="G120" s="232"/>
      <c r="H120" s="233"/>
      <c r="I120" s="232"/>
      <c r="J120" s="235" t="s">
        <v>44</v>
      </c>
      <c r="K120" s="224"/>
      <c r="L120" s="176"/>
      <c r="M120" s="238"/>
      <c r="N120" s="240" t="s">
        <v>46</v>
      </c>
    </row>
    <row r="121" spans="1:14" s="50" customFormat="1" ht="25" customHeight="1" thickTop="1" thickBot="1" x14ac:dyDescent="0.4">
      <c r="A121" s="194" t="s">
        <v>45</v>
      </c>
      <c r="B121" s="176"/>
      <c r="C121" s="225">
        <v>7</v>
      </c>
      <c r="D121" s="231"/>
      <c r="E121" s="232" t="str">
        <f t="shared" si="8"/>
        <v/>
      </c>
      <c r="F121" s="232" t="str">
        <f>IF(J121='Factor Lookup'!$A$43,"",VLOOKUP(J121,'Factor Lookup'!$A$43:$B$47,2,))</f>
        <v/>
      </c>
      <c r="G121" s="232"/>
      <c r="H121" s="233"/>
      <c r="I121" s="232"/>
      <c r="J121" s="235" t="s">
        <v>44</v>
      </c>
      <c r="K121" s="224"/>
      <c r="L121" s="176"/>
      <c r="M121" s="238"/>
      <c r="N121" s="240" t="s">
        <v>46</v>
      </c>
    </row>
    <row r="122" spans="1:14" s="50" customFormat="1" ht="25" customHeight="1" thickTop="1" thickBot="1" x14ac:dyDescent="0.4">
      <c r="A122" s="194" t="s">
        <v>45</v>
      </c>
      <c r="B122" s="176"/>
      <c r="C122" s="225">
        <v>8</v>
      </c>
      <c r="D122" s="231"/>
      <c r="E122" s="232" t="str">
        <f t="shared" si="8"/>
        <v/>
      </c>
      <c r="F122" s="232" t="str">
        <f>IF(J122='Factor Lookup'!$A$43,"",VLOOKUP(J122,'Factor Lookup'!$A$43:$B$47,2,))</f>
        <v/>
      </c>
      <c r="G122" s="232"/>
      <c r="H122" s="233"/>
      <c r="I122" s="232"/>
      <c r="J122" s="235" t="s">
        <v>44</v>
      </c>
      <c r="K122" s="224"/>
      <c r="L122" s="176"/>
      <c r="M122" s="238"/>
      <c r="N122" s="240" t="s">
        <v>46</v>
      </c>
    </row>
    <row r="123" spans="1:14" s="50" customFormat="1" ht="25" customHeight="1" thickTop="1" thickBot="1" x14ac:dyDescent="0.4">
      <c r="A123" s="194" t="s">
        <v>45</v>
      </c>
      <c r="B123" s="176"/>
      <c r="C123" s="225">
        <v>9</v>
      </c>
      <c r="D123" s="231"/>
      <c r="E123" s="232" t="str">
        <f t="shared" si="8"/>
        <v/>
      </c>
      <c r="F123" s="232" t="str">
        <f>IF(J123='Factor Lookup'!$A$43,"",VLOOKUP(J123,'Factor Lookup'!$A$43:$B$47,2,))</f>
        <v/>
      </c>
      <c r="G123" s="232"/>
      <c r="H123" s="233"/>
      <c r="I123" s="232"/>
      <c r="J123" s="235" t="s">
        <v>44</v>
      </c>
      <c r="K123" s="224"/>
      <c r="L123" s="176"/>
      <c r="M123" s="239"/>
      <c r="N123" s="240" t="s">
        <v>46</v>
      </c>
    </row>
    <row r="124" spans="1:14" ht="10" customHeight="1" thickTop="1" thickBot="1" x14ac:dyDescent="0.4">
      <c r="A124" s="169" t="str">
        <f>A114</f>
        <v>-----</v>
      </c>
      <c r="B124" s="176"/>
      <c r="D124" s="19"/>
      <c r="F124" s="20"/>
      <c r="G124" s="20"/>
      <c r="K124" s="15"/>
      <c r="L124" s="176"/>
    </row>
    <row r="125" spans="1:14" s="18" customFormat="1" ht="30" customHeight="1" thickTop="1" thickBot="1" x14ac:dyDescent="0.4">
      <c r="A125" s="194" t="s">
        <v>45</v>
      </c>
      <c r="B125" s="176"/>
      <c r="C125" s="16" t="s">
        <v>55</v>
      </c>
      <c r="D125" s="207" t="s">
        <v>41</v>
      </c>
      <c r="E125" s="220"/>
      <c r="F125" s="220"/>
      <c r="G125" s="221">
        <f>IF(I125=0,0,IF(COUNT(E126:E135)&lt;&gt;COUNT(F126:F135),0,IF(COUNT(F125:F135)=0,0,IF(I125=0,0,SUM(F125:F135)/COUNT(F125:F135)))))</f>
        <v>0</v>
      </c>
      <c r="H125" s="221">
        <f>IF(COUNT(E126:E135)&lt;&gt;COUNT(F126:F135),0,IF(AND(I125&gt;0,COUNT(F126:F135)=0),0,IF(I$137=0,0,IF(I125=0,0,(SUM(F126:F135)/COUNT(F126:F135))*I125/I$137))))</f>
        <v>0</v>
      </c>
      <c r="I125" s="222">
        <f>VLOOKUP(J125,'Factor Lookup'!$A$34:$B$38,2,)</f>
        <v>0</v>
      </c>
      <c r="J125" s="227" t="s">
        <v>42</v>
      </c>
      <c r="K125" s="17" t="str">
        <f>IF(OR(G125=0,H125=0),"Not Rated",IF(G125&lt;'Factor Lookup'!$A$53,'Factor Lookup'!$C$52,IF(AND(G125&gt;'Factor Lookup'!$B$52,G125&lt;'Factor Lookup'!$A$54),'Factor Lookup'!$C$53,'Factor Lookup'!$C$54)))</f>
        <v>Not Rated</v>
      </c>
      <c r="L125" s="176"/>
      <c r="M125" s="236" t="str">
        <f>IF(OR(J126="Requires Attention",J127="Requires Attention",J128="Requires Attention",J129="Requires Attention",J130="Requires Attention",J131="Requires Attention",J132="Requires Attention",J133="Requires Attention",J134="Requires Attention"),"Corrective Action","")</f>
        <v/>
      </c>
      <c r="N125" s="240" t="s">
        <v>46</v>
      </c>
    </row>
    <row r="126" spans="1:14" s="50" customFormat="1" ht="25" customHeight="1" thickTop="1" thickBot="1" x14ac:dyDescent="0.4">
      <c r="A126" s="194" t="s">
        <v>45</v>
      </c>
      <c r="B126" s="176"/>
      <c r="C126" s="223">
        <v>1</v>
      </c>
      <c r="D126" s="228"/>
      <c r="E126" s="229" t="str">
        <f t="shared" ref="E126:E134" si="9">IF(D126="","",1)</f>
        <v/>
      </c>
      <c r="F126" s="229" t="str">
        <f>IF(J126='Factor Lookup'!$A$43,"",VLOOKUP(J126,'Factor Lookup'!$A$43:$B$47,2,))</f>
        <v/>
      </c>
      <c r="G126" s="229"/>
      <c r="H126" s="230"/>
      <c r="I126" s="229"/>
      <c r="J126" s="234" t="s">
        <v>44</v>
      </c>
      <c r="K126" s="224"/>
      <c r="L126" s="176"/>
      <c r="M126" s="237"/>
      <c r="N126" s="240" t="s">
        <v>46</v>
      </c>
    </row>
    <row r="127" spans="1:14" s="50" customFormat="1" ht="25" customHeight="1" thickTop="1" thickBot="1" x14ac:dyDescent="0.4">
      <c r="A127" s="194" t="s">
        <v>45</v>
      </c>
      <c r="B127" s="176"/>
      <c r="C127" s="225">
        <v>2</v>
      </c>
      <c r="D127" s="231"/>
      <c r="E127" s="232" t="str">
        <f t="shared" si="9"/>
        <v/>
      </c>
      <c r="F127" s="232" t="str">
        <f>IF(J127='Factor Lookup'!$A$43,"",VLOOKUP(J127,'Factor Lookup'!$A$43:$B$47,2,))</f>
        <v/>
      </c>
      <c r="G127" s="232"/>
      <c r="H127" s="233"/>
      <c r="I127" s="232"/>
      <c r="J127" s="235" t="s">
        <v>44</v>
      </c>
      <c r="K127" s="224"/>
      <c r="L127" s="176"/>
      <c r="M127" s="238"/>
      <c r="N127" s="240" t="s">
        <v>46</v>
      </c>
    </row>
    <row r="128" spans="1:14" s="50" customFormat="1" ht="25" customHeight="1" thickTop="1" thickBot="1" x14ac:dyDescent="0.4">
      <c r="A128" s="194" t="s">
        <v>45</v>
      </c>
      <c r="B128" s="176"/>
      <c r="C128" s="225">
        <v>3</v>
      </c>
      <c r="D128" s="231"/>
      <c r="E128" s="232" t="str">
        <f t="shared" si="9"/>
        <v/>
      </c>
      <c r="F128" s="232" t="str">
        <f>IF(J128='Factor Lookup'!$A$43,"",VLOOKUP(J128,'Factor Lookup'!$A$43:$B$47,2,))</f>
        <v/>
      </c>
      <c r="G128" s="232"/>
      <c r="H128" s="233"/>
      <c r="I128" s="232"/>
      <c r="J128" s="235" t="s">
        <v>44</v>
      </c>
      <c r="K128" s="224"/>
      <c r="L128" s="176"/>
      <c r="M128" s="238"/>
      <c r="N128" s="240" t="s">
        <v>46</v>
      </c>
    </row>
    <row r="129" spans="1:14" s="50" customFormat="1" ht="25" customHeight="1" thickTop="1" thickBot="1" x14ac:dyDescent="0.4">
      <c r="A129" s="194" t="s">
        <v>45</v>
      </c>
      <c r="B129" s="176"/>
      <c r="C129" s="225">
        <v>4</v>
      </c>
      <c r="D129" s="231"/>
      <c r="E129" s="232" t="str">
        <f>IF(D129="","",1)</f>
        <v/>
      </c>
      <c r="F129" s="232" t="str">
        <f>IF(J129='Factor Lookup'!$A$43,"",VLOOKUP(J129,'Factor Lookup'!$A$43:$B$47,2,))</f>
        <v/>
      </c>
      <c r="G129" s="232"/>
      <c r="H129" s="233"/>
      <c r="I129" s="232"/>
      <c r="J129" s="235" t="s">
        <v>44</v>
      </c>
      <c r="K129" s="224"/>
      <c r="L129" s="176"/>
      <c r="M129" s="238"/>
      <c r="N129" s="240" t="s">
        <v>46</v>
      </c>
    </row>
    <row r="130" spans="1:14" s="50" customFormat="1" ht="25" customHeight="1" thickTop="1" thickBot="1" x14ac:dyDescent="0.4">
      <c r="A130" s="194" t="s">
        <v>45</v>
      </c>
      <c r="B130" s="176"/>
      <c r="C130" s="225">
        <v>5</v>
      </c>
      <c r="D130" s="231"/>
      <c r="E130" s="232" t="str">
        <f>IF(D130="","",1)</f>
        <v/>
      </c>
      <c r="F130" s="232" t="str">
        <f>IF(J130='Factor Lookup'!$A$43,"",VLOOKUP(J130,'Factor Lookup'!$A$43:$B$47,2,))</f>
        <v/>
      </c>
      <c r="G130" s="232"/>
      <c r="H130" s="233"/>
      <c r="I130" s="232"/>
      <c r="J130" s="235" t="s">
        <v>44</v>
      </c>
      <c r="K130" s="224"/>
      <c r="L130" s="176"/>
      <c r="M130" s="238"/>
      <c r="N130" s="240" t="s">
        <v>46</v>
      </c>
    </row>
    <row r="131" spans="1:14" s="50" customFormat="1" ht="25" customHeight="1" thickTop="1" thickBot="1" x14ac:dyDescent="0.4">
      <c r="A131" s="194" t="s">
        <v>45</v>
      </c>
      <c r="B131" s="176"/>
      <c r="C131" s="225">
        <v>6</v>
      </c>
      <c r="D131" s="231"/>
      <c r="E131" s="232" t="str">
        <f>IF(D131="","",1)</f>
        <v/>
      </c>
      <c r="F131" s="232" t="str">
        <f>IF(J131='Factor Lookup'!$A$43,"",VLOOKUP(J131,'Factor Lookup'!$A$43:$B$47,2,))</f>
        <v/>
      </c>
      <c r="G131" s="232"/>
      <c r="H131" s="233"/>
      <c r="I131" s="232"/>
      <c r="J131" s="235" t="s">
        <v>44</v>
      </c>
      <c r="K131" s="224"/>
      <c r="L131" s="176"/>
      <c r="M131" s="238"/>
      <c r="N131" s="240" t="s">
        <v>46</v>
      </c>
    </row>
    <row r="132" spans="1:14" s="50" customFormat="1" ht="25" customHeight="1" thickTop="1" thickBot="1" x14ac:dyDescent="0.4">
      <c r="A132" s="194" t="s">
        <v>45</v>
      </c>
      <c r="B132" s="176"/>
      <c r="C132" s="225">
        <v>7</v>
      </c>
      <c r="D132" s="231"/>
      <c r="E132" s="232" t="str">
        <f t="shared" si="9"/>
        <v/>
      </c>
      <c r="F132" s="232" t="str">
        <f>IF(J132='Factor Lookup'!$A$43,"",VLOOKUP(J132,'Factor Lookup'!$A$43:$B$47,2,))</f>
        <v/>
      </c>
      <c r="G132" s="232"/>
      <c r="H132" s="233"/>
      <c r="I132" s="232"/>
      <c r="J132" s="235" t="s">
        <v>44</v>
      </c>
      <c r="K132" s="224"/>
      <c r="L132" s="176"/>
      <c r="M132" s="238"/>
      <c r="N132" s="240" t="s">
        <v>46</v>
      </c>
    </row>
    <row r="133" spans="1:14" s="50" customFormat="1" ht="25" customHeight="1" thickTop="1" thickBot="1" x14ac:dyDescent="0.4">
      <c r="A133" s="194" t="s">
        <v>45</v>
      </c>
      <c r="B133" s="176"/>
      <c r="C133" s="225">
        <v>8</v>
      </c>
      <c r="D133" s="231"/>
      <c r="E133" s="232" t="str">
        <f t="shared" si="9"/>
        <v/>
      </c>
      <c r="F133" s="232" t="str">
        <f>IF(J133='Factor Lookup'!$A$43,"",VLOOKUP(J133,'Factor Lookup'!$A$43:$B$47,2,))</f>
        <v/>
      </c>
      <c r="G133" s="232"/>
      <c r="H133" s="233"/>
      <c r="I133" s="232"/>
      <c r="J133" s="235" t="s">
        <v>44</v>
      </c>
      <c r="K133" s="224"/>
      <c r="L133" s="176"/>
      <c r="M133" s="238"/>
      <c r="N133" s="240" t="s">
        <v>46</v>
      </c>
    </row>
    <row r="134" spans="1:14" s="50" customFormat="1" ht="25" customHeight="1" thickTop="1" thickBot="1" x14ac:dyDescent="0.4">
      <c r="A134" s="194" t="s">
        <v>45</v>
      </c>
      <c r="B134" s="176"/>
      <c r="C134" s="225">
        <v>9</v>
      </c>
      <c r="D134" s="231"/>
      <c r="E134" s="232" t="str">
        <f t="shared" si="9"/>
        <v/>
      </c>
      <c r="F134" s="232" t="str">
        <f>IF(J134='Factor Lookup'!$A$43,"",VLOOKUP(J134,'Factor Lookup'!$A$43:$B$47,2,))</f>
        <v/>
      </c>
      <c r="G134" s="232"/>
      <c r="H134" s="233"/>
      <c r="I134" s="232"/>
      <c r="J134" s="235" t="s">
        <v>44</v>
      </c>
      <c r="K134" s="224"/>
      <c r="L134" s="176"/>
      <c r="M134" s="239"/>
      <c r="N134" s="240" t="s">
        <v>46</v>
      </c>
    </row>
    <row r="135" spans="1:14" ht="10" customHeight="1" thickTop="1" thickBot="1" x14ac:dyDescent="0.4">
      <c r="A135" s="169" t="str">
        <f>A125</f>
        <v>-----</v>
      </c>
      <c r="B135" s="176"/>
      <c r="D135" s="19"/>
      <c r="F135" s="20"/>
      <c r="G135" s="20"/>
      <c r="K135" s="15"/>
      <c r="L135" s="176"/>
    </row>
    <row r="136" spans="1:14" ht="10" customHeight="1" thickTop="1" thickBot="1" x14ac:dyDescent="0.4">
      <c r="A136" s="169" t="s">
        <v>39</v>
      </c>
      <c r="B136" s="176"/>
      <c r="D136" s="19"/>
      <c r="E136" s="21" t="s">
        <v>56</v>
      </c>
      <c r="F136" s="22" t="s">
        <v>57</v>
      </c>
      <c r="G136" s="22" t="s">
        <v>58</v>
      </c>
      <c r="H136" s="22" t="s">
        <v>59</v>
      </c>
      <c r="I136" s="22" t="s">
        <v>60</v>
      </c>
      <c r="K136" s="15"/>
      <c r="L136" s="176"/>
    </row>
    <row r="137" spans="1:14" ht="25" customHeight="1" thickTop="1" thickBot="1" x14ac:dyDescent="0.4">
      <c r="A137" s="169" t="s">
        <v>39</v>
      </c>
      <c r="B137" s="176"/>
      <c r="C137" s="213" t="s">
        <v>61</v>
      </c>
      <c r="D137" s="214"/>
      <c r="E137" s="241">
        <f>COUNT(E26:E136)</f>
        <v>22</v>
      </c>
      <c r="F137" s="241">
        <f>COUNT(F26:F136)</f>
        <v>22</v>
      </c>
      <c r="G137" s="241"/>
      <c r="H137" s="242">
        <f>SUM(H26:H136)</f>
        <v>2.1178571428571429</v>
      </c>
      <c r="I137" s="243">
        <f>SUM(I26:I136)</f>
        <v>28</v>
      </c>
      <c r="J137" s="280" t="str">
        <f>IF(H137=0,"Not Rated",IF(E137&lt;&gt;F137,"Rating Incomplete",IF(H137&lt;'Factor Lookup'!$A$53,'Factor Lookup'!$C$52,IF(AND(H137&gt;'Factor Lookup'!$B$52,H137&lt;'Factor Lookup'!$A$54),'Factor Lookup'!$C$53,'Factor Lookup'!$C$54))))</f>
        <v>Meets Expectation</v>
      </c>
      <c r="K137" s="281"/>
      <c r="L137" s="176"/>
    </row>
    <row r="138" spans="1:14" ht="25" customHeight="1" thickTop="1" x14ac:dyDescent="0.35">
      <c r="A138" s="169" t="s">
        <v>39</v>
      </c>
      <c r="B138" s="176"/>
      <c r="L138" s="176"/>
    </row>
    <row r="139" spans="1:14" ht="10" customHeight="1" x14ac:dyDescent="0.35">
      <c r="A139" s="169" t="s">
        <v>39</v>
      </c>
      <c r="B139" s="176"/>
      <c r="C139" s="177"/>
      <c r="D139" s="177"/>
      <c r="E139" s="177"/>
      <c r="F139" s="177"/>
      <c r="G139" s="177"/>
      <c r="H139" s="177"/>
      <c r="I139" s="177"/>
      <c r="J139" s="177"/>
      <c r="K139" s="177"/>
      <c r="L139" s="176"/>
    </row>
  </sheetData>
  <sheetProtection algorithmName="SHA-512" hashValue="IrvVNG6ehsFCZ2jJESoO2x/Y09p5+3BI7sT/bFOVbXYnSmzujtLaVwim7+ySIijXyZelPBwpvKtMb+9E7NQI1g==" saltValue="uDa1WQPjcCbQuYQkmoqGYg==" spinCount="100000" sheet="1" objects="1" scenarios="1" formatCells="0" formatRows="0" selectLockedCells="1"/>
  <mergeCells count="12">
    <mergeCell ref="A1:A6"/>
    <mergeCell ref="M5:M6"/>
    <mergeCell ref="N5:N6"/>
    <mergeCell ref="J137:K137"/>
    <mergeCell ref="C11:K11"/>
    <mergeCell ref="C12:K12"/>
    <mergeCell ref="C14:K14"/>
    <mergeCell ref="C13:K13"/>
    <mergeCell ref="C18:K18"/>
    <mergeCell ref="C19:K19"/>
    <mergeCell ref="C20:K20"/>
    <mergeCell ref="C21:K21"/>
  </mergeCells>
  <conditionalFormatting sqref="M27">
    <cfRule type="expression" dxfId="721" priority="842">
      <formula>J27="Requires Attention"</formula>
    </cfRule>
  </conditionalFormatting>
  <conditionalFormatting sqref="M28:M35">
    <cfRule type="expression" dxfId="720" priority="841">
      <formula>J28="Requires Attention"</formula>
    </cfRule>
  </conditionalFormatting>
  <conditionalFormatting sqref="N26:N36">
    <cfRule type="cellIs" dxfId="719" priority="822" operator="equal">
      <formula>"NO"</formula>
    </cfRule>
  </conditionalFormatting>
  <conditionalFormatting sqref="B9:B20 L9:L20">
    <cfRule type="cellIs" dxfId="718" priority="821" operator="equal">
      <formula>"Active"</formula>
    </cfRule>
  </conditionalFormatting>
  <conditionalFormatting sqref="B21:B34">
    <cfRule type="cellIs" dxfId="717" priority="804" operator="equal">
      <formula>"Active"</formula>
    </cfRule>
  </conditionalFormatting>
  <conditionalFormatting sqref="B35:B36">
    <cfRule type="cellIs" dxfId="716" priority="803" operator="equal">
      <formula>"Active"</formula>
    </cfRule>
  </conditionalFormatting>
  <conditionalFormatting sqref="B136:B139">
    <cfRule type="cellIs" dxfId="715" priority="796" operator="equal">
      <formula>"Active"</formula>
    </cfRule>
  </conditionalFormatting>
  <conditionalFormatting sqref="L21:L34">
    <cfRule type="cellIs" dxfId="714" priority="773" operator="equal">
      <formula>"Active"</formula>
    </cfRule>
  </conditionalFormatting>
  <conditionalFormatting sqref="L35:L36">
    <cfRule type="cellIs" dxfId="713" priority="772" operator="equal">
      <formula>"Active"</formula>
    </cfRule>
  </conditionalFormatting>
  <conditionalFormatting sqref="L136:L139">
    <cfRule type="cellIs" dxfId="712" priority="765" operator="equal">
      <formula>"Active"</formula>
    </cfRule>
  </conditionalFormatting>
  <conditionalFormatting sqref="A80">
    <cfRule type="cellIs" dxfId="711" priority="220" operator="equal">
      <formula>"Print"</formula>
    </cfRule>
  </conditionalFormatting>
  <conditionalFormatting sqref="A69">
    <cfRule type="cellIs" dxfId="710" priority="238" operator="equal">
      <formula>"Print"</formula>
    </cfRule>
  </conditionalFormatting>
  <conditionalFormatting sqref="A137">
    <cfRule type="cellIs" dxfId="709" priority="672" operator="equal">
      <formula>"Print"</formula>
    </cfRule>
  </conditionalFormatting>
  <conditionalFormatting sqref="A26">
    <cfRule type="cellIs" dxfId="708" priority="633" operator="equal">
      <formula>"Print"</formula>
    </cfRule>
  </conditionalFormatting>
  <conditionalFormatting sqref="A31">
    <cfRule type="cellIs" dxfId="707" priority="125" operator="equal">
      <formula>"Print"</formula>
    </cfRule>
  </conditionalFormatting>
  <conditionalFormatting sqref="A32">
    <cfRule type="cellIs" dxfId="706" priority="124" operator="equal">
      <formula>"Print"</formula>
    </cfRule>
  </conditionalFormatting>
  <conditionalFormatting sqref="A33">
    <cfRule type="cellIs" dxfId="705" priority="123" operator="equal">
      <formula>"Print"</formula>
    </cfRule>
  </conditionalFormatting>
  <conditionalFormatting sqref="A36">
    <cfRule type="cellIs" dxfId="704" priority="556" operator="equal">
      <formula>"Print"</formula>
    </cfRule>
  </conditionalFormatting>
  <conditionalFormatting sqref="A27">
    <cfRule type="cellIs" dxfId="703" priority="129" operator="equal">
      <formula>"Print"</formula>
    </cfRule>
  </conditionalFormatting>
  <conditionalFormatting sqref="A28">
    <cfRule type="cellIs" dxfId="702" priority="128" operator="equal">
      <formula>"Print"</formula>
    </cfRule>
  </conditionalFormatting>
  <conditionalFormatting sqref="A29">
    <cfRule type="cellIs" dxfId="701" priority="127" operator="equal">
      <formula>"Print"</formula>
    </cfRule>
  </conditionalFormatting>
  <conditionalFormatting sqref="A30">
    <cfRule type="cellIs" dxfId="700" priority="126" operator="equal">
      <formula>"Print"</formula>
    </cfRule>
  </conditionalFormatting>
  <conditionalFormatting sqref="A34">
    <cfRule type="cellIs" dxfId="699" priority="122" operator="equal">
      <formula>"Print"</formula>
    </cfRule>
  </conditionalFormatting>
  <conditionalFormatting sqref="A40">
    <cfRule type="cellIs" dxfId="698" priority="117" operator="equal">
      <formula>"Print"</formula>
    </cfRule>
  </conditionalFormatting>
  <conditionalFormatting sqref="A41">
    <cfRule type="cellIs" dxfId="697" priority="116" operator="equal">
      <formula>"Print"</formula>
    </cfRule>
  </conditionalFormatting>
  <conditionalFormatting sqref="A42">
    <cfRule type="cellIs" dxfId="696" priority="115" operator="equal">
      <formula>"Print"</formula>
    </cfRule>
  </conditionalFormatting>
  <conditionalFormatting sqref="A51">
    <cfRule type="cellIs" dxfId="695" priority="107" operator="equal">
      <formula>"Print"</formula>
    </cfRule>
  </conditionalFormatting>
  <conditionalFormatting sqref="A136">
    <cfRule type="cellIs" dxfId="694" priority="456" operator="equal">
      <formula>"Print"</formula>
    </cfRule>
  </conditionalFormatting>
  <conditionalFormatting sqref="A138:A139">
    <cfRule type="cellIs" dxfId="693" priority="455" operator="equal">
      <formula>"Print"</formula>
    </cfRule>
  </conditionalFormatting>
  <conditionalFormatting sqref="M38">
    <cfRule type="expression" dxfId="692" priority="291">
      <formula>J38="Requires Attention"</formula>
    </cfRule>
  </conditionalFormatting>
  <conditionalFormatting sqref="M39:M46">
    <cfRule type="expression" dxfId="691" priority="290">
      <formula>J39="Requires Attention"</formula>
    </cfRule>
  </conditionalFormatting>
  <conditionalFormatting sqref="N37:N47">
    <cfRule type="cellIs" dxfId="690" priority="289" operator="equal">
      <formula>"NO"</formula>
    </cfRule>
  </conditionalFormatting>
  <conditionalFormatting sqref="B37:B45">
    <cfRule type="cellIs" dxfId="689" priority="288" operator="equal">
      <formula>"Active"</formula>
    </cfRule>
  </conditionalFormatting>
  <conditionalFormatting sqref="B46:B47">
    <cfRule type="cellIs" dxfId="688" priority="287" operator="equal">
      <formula>"Active"</formula>
    </cfRule>
  </conditionalFormatting>
  <conditionalFormatting sqref="L37:L45">
    <cfRule type="cellIs" dxfId="687" priority="286" operator="equal">
      <formula>"Active"</formula>
    </cfRule>
  </conditionalFormatting>
  <conditionalFormatting sqref="L46:L47">
    <cfRule type="cellIs" dxfId="686" priority="285" operator="equal">
      <formula>"Active"</formula>
    </cfRule>
  </conditionalFormatting>
  <conditionalFormatting sqref="A47">
    <cfRule type="cellIs" dxfId="685" priority="274" operator="equal">
      <formula>"Print"</formula>
    </cfRule>
  </conditionalFormatting>
  <conditionalFormatting sqref="M49">
    <cfRule type="expression" dxfId="684" priority="273">
      <formula>J49="Requires Attention"</formula>
    </cfRule>
  </conditionalFormatting>
  <conditionalFormatting sqref="M50:M57">
    <cfRule type="expression" dxfId="683" priority="272">
      <formula>J50="Requires Attention"</formula>
    </cfRule>
  </conditionalFormatting>
  <conditionalFormatting sqref="N48:N58">
    <cfRule type="cellIs" dxfId="682" priority="271" operator="equal">
      <formula>"NO"</formula>
    </cfRule>
  </conditionalFormatting>
  <conditionalFormatting sqref="B48:B56">
    <cfRule type="cellIs" dxfId="681" priority="270" operator="equal">
      <formula>"Active"</formula>
    </cfRule>
  </conditionalFormatting>
  <conditionalFormatting sqref="B57:B58">
    <cfRule type="cellIs" dxfId="680" priority="269" operator="equal">
      <formula>"Active"</formula>
    </cfRule>
  </conditionalFormatting>
  <conditionalFormatting sqref="L48:L56">
    <cfRule type="cellIs" dxfId="679" priority="268" operator="equal">
      <formula>"Active"</formula>
    </cfRule>
  </conditionalFormatting>
  <conditionalFormatting sqref="L57:L58">
    <cfRule type="cellIs" dxfId="678" priority="267" operator="equal">
      <formula>"Active"</formula>
    </cfRule>
  </conditionalFormatting>
  <conditionalFormatting sqref="A58">
    <cfRule type="cellIs" dxfId="677" priority="256" operator="equal">
      <formula>"Print"</formula>
    </cfRule>
  </conditionalFormatting>
  <conditionalFormatting sqref="M60">
    <cfRule type="expression" dxfId="676" priority="255">
      <formula>J60="Requires Attention"</formula>
    </cfRule>
  </conditionalFormatting>
  <conditionalFormatting sqref="M61:M68">
    <cfRule type="expression" dxfId="675" priority="254">
      <formula>J61="Requires Attention"</formula>
    </cfRule>
  </conditionalFormatting>
  <conditionalFormatting sqref="N59:N69">
    <cfRule type="cellIs" dxfId="674" priority="253" operator="equal">
      <formula>"NO"</formula>
    </cfRule>
  </conditionalFormatting>
  <conditionalFormatting sqref="B59:B67">
    <cfRule type="cellIs" dxfId="673" priority="252" operator="equal">
      <formula>"Active"</formula>
    </cfRule>
  </conditionalFormatting>
  <conditionalFormatting sqref="B68:B69">
    <cfRule type="cellIs" dxfId="672" priority="251" operator="equal">
      <formula>"Active"</formula>
    </cfRule>
  </conditionalFormatting>
  <conditionalFormatting sqref="L59:L67">
    <cfRule type="cellIs" dxfId="671" priority="250" operator="equal">
      <formula>"Active"</formula>
    </cfRule>
  </conditionalFormatting>
  <conditionalFormatting sqref="L68:L69">
    <cfRule type="cellIs" dxfId="670" priority="249" operator="equal">
      <formula>"Active"</formula>
    </cfRule>
  </conditionalFormatting>
  <conditionalFormatting sqref="M71">
    <cfRule type="expression" dxfId="669" priority="237">
      <formula>J71="Requires Attention"</formula>
    </cfRule>
  </conditionalFormatting>
  <conditionalFormatting sqref="M72:M79">
    <cfRule type="expression" dxfId="668" priority="236">
      <formula>J72="Requires Attention"</formula>
    </cfRule>
  </conditionalFormatting>
  <conditionalFormatting sqref="N70:N80">
    <cfRule type="cellIs" dxfId="667" priority="235" operator="equal">
      <formula>"NO"</formula>
    </cfRule>
  </conditionalFormatting>
  <conditionalFormatting sqref="B70:B78">
    <cfRule type="cellIs" dxfId="666" priority="234" operator="equal">
      <formula>"Active"</formula>
    </cfRule>
  </conditionalFormatting>
  <conditionalFormatting sqref="B79:B80">
    <cfRule type="cellIs" dxfId="665" priority="233" operator="equal">
      <formula>"Active"</formula>
    </cfRule>
  </conditionalFormatting>
  <conditionalFormatting sqref="L70:L78">
    <cfRule type="cellIs" dxfId="664" priority="232" operator="equal">
      <formula>"Active"</formula>
    </cfRule>
  </conditionalFormatting>
  <conditionalFormatting sqref="L79:L80">
    <cfRule type="cellIs" dxfId="663" priority="231" operator="equal">
      <formula>"Active"</formula>
    </cfRule>
  </conditionalFormatting>
  <conditionalFormatting sqref="M82">
    <cfRule type="expression" dxfId="662" priority="219">
      <formula>J82="Requires Attention"</formula>
    </cfRule>
  </conditionalFormatting>
  <conditionalFormatting sqref="M83:M90">
    <cfRule type="expression" dxfId="661" priority="218">
      <formula>J83="Requires Attention"</formula>
    </cfRule>
  </conditionalFormatting>
  <conditionalFormatting sqref="N81:N91">
    <cfRule type="cellIs" dxfId="660" priority="217" operator="equal">
      <formula>"NO"</formula>
    </cfRule>
  </conditionalFormatting>
  <conditionalFormatting sqref="B81:B89">
    <cfRule type="cellIs" dxfId="659" priority="216" operator="equal">
      <formula>"Active"</formula>
    </cfRule>
  </conditionalFormatting>
  <conditionalFormatting sqref="B90:B91">
    <cfRule type="cellIs" dxfId="658" priority="215" operator="equal">
      <formula>"Active"</formula>
    </cfRule>
  </conditionalFormatting>
  <conditionalFormatting sqref="L81:L89">
    <cfRule type="cellIs" dxfId="657" priority="214" operator="equal">
      <formula>"Active"</formula>
    </cfRule>
  </conditionalFormatting>
  <conditionalFormatting sqref="L90:L91">
    <cfRule type="cellIs" dxfId="656" priority="213" operator="equal">
      <formula>"Active"</formula>
    </cfRule>
  </conditionalFormatting>
  <conditionalFormatting sqref="A91">
    <cfRule type="cellIs" dxfId="655" priority="202" operator="equal">
      <formula>"Print"</formula>
    </cfRule>
  </conditionalFormatting>
  <conditionalFormatting sqref="M93">
    <cfRule type="expression" dxfId="654" priority="201">
      <formula>J93="Requires Attention"</formula>
    </cfRule>
  </conditionalFormatting>
  <conditionalFormatting sqref="M94:M101">
    <cfRule type="expression" dxfId="653" priority="200">
      <formula>J94="Requires Attention"</formula>
    </cfRule>
  </conditionalFormatting>
  <conditionalFormatting sqref="N92:N102">
    <cfRule type="cellIs" dxfId="652" priority="199" operator="equal">
      <formula>"NO"</formula>
    </cfRule>
  </conditionalFormatting>
  <conditionalFormatting sqref="B92:B100">
    <cfRule type="cellIs" dxfId="651" priority="198" operator="equal">
      <formula>"Active"</formula>
    </cfRule>
  </conditionalFormatting>
  <conditionalFormatting sqref="B101:B102">
    <cfRule type="cellIs" dxfId="650" priority="197" operator="equal">
      <formula>"Active"</formula>
    </cfRule>
  </conditionalFormatting>
  <conditionalFormatting sqref="L92:L100">
    <cfRule type="cellIs" dxfId="649" priority="196" operator="equal">
      <formula>"Active"</formula>
    </cfRule>
  </conditionalFormatting>
  <conditionalFormatting sqref="L101:L102">
    <cfRule type="cellIs" dxfId="648" priority="195" operator="equal">
      <formula>"Active"</formula>
    </cfRule>
  </conditionalFormatting>
  <conditionalFormatting sqref="A102">
    <cfRule type="cellIs" dxfId="647" priority="184" operator="equal">
      <formula>"Print"</formula>
    </cfRule>
  </conditionalFormatting>
  <conditionalFormatting sqref="M104">
    <cfRule type="expression" dxfId="646" priority="183">
      <formula>J104="Requires Attention"</formula>
    </cfRule>
  </conditionalFormatting>
  <conditionalFormatting sqref="M105:M112">
    <cfRule type="expression" dxfId="645" priority="182">
      <formula>J105="Requires Attention"</formula>
    </cfRule>
  </conditionalFormatting>
  <conditionalFormatting sqref="N103:N113">
    <cfRule type="cellIs" dxfId="644" priority="181" operator="equal">
      <formula>"NO"</formula>
    </cfRule>
  </conditionalFormatting>
  <conditionalFormatting sqref="B103:B111">
    <cfRule type="cellIs" dxfId="643" priority="180" operator="equal">
      <formula>"Active"</formula>
    </cfRule>
  </conditionalFormatting>
  <conditionalFormatting sqref="B112:B113">
    <cfRule type="cellIs" dxfId="642" priority="179" operator="equal">
      <formula>"Active"</formula>
    </cfRule>
  </conditionalFormatting>
  <conditionalFormatting sqref="L103:L111">
    <cfRule type="cellIs" dxfId="641" priority="178" operator="equal">
      <formula>"Active"</formula>
    </cfRule>
  </conditionalFormatting>
  <conditionalFormatting sqref="L112:L113">
    <cfRule type="cellIs" dxfId="640" priority="177" operator="equal">
      <formula>"Active"</formula>
    </cfRule>
  </conditionalFormatting>
  <conditionalFormatting sqref="A113">
    <cfRule type="cellIs" dxfId="639" priority="166" operator="equal">
      <formula>"Print"</formula>
    </cfRule>
  </conditionalFormatting>
  <conditionalFormatting sqref="M115">
    <cfRule type="expression" dxfId="638" priority="165">
      <formula>J115="Requires Attention"</formula>
    </cfRule>
  </conditionalFormatting>
  <conditionalFormatting sqref="M116:M123">
    <cfRule type="expression" dxfId="637" priority="164">
      <formula>J116="Requires Attention"</formula>
    </cfRule>
  </conditionalFormatting>
  <conditionalFormatting sqref="N114:N124">
    <cfRule type="cellIs" dxfId="636" priority="163" operator="equal">
      <formula>"NO"</formula>
    </cfRule>
  </conditionalFormatting>
  <conditionalFormatting sqref="B114:B122">
    <cfRule type="cellIs" dxfId="635" priority="162" operator="equal">
      <formula>"Active"</formula>
    </cfRule>
  </conditionalFormatting>
  <conditionalFormatting sqref="B123:B124">
    <cfRule type="cellIs" dxfId="634" priority="161" operator="equal">
      <formula>"Active"</formula>
    </cfRule>
  </conditionalFormatting>
  <conditionalFormatting sqref="L114:L122">
    <cfRule type="cellIs" dxfId="633" priority="160" operator="equal">
      <formula>"Active"</formula>
    </cfRule>
  </conditionalFormatting>
  <conditionalFormatting sqref="L123:L124">
    <cfRule type="cellIs" dxfId="632" priority="159" operator="equal">
      <formula>"Active"</formula>
    </cfRule>
  </conditionalFormatting>
  <conditionalFormatting sqref="A124">
    <cfRule type="cellIs" dxfId="631" priority="148" operator="equal">
      <formula>"Print"</formula>
    </cfRule>
  </conditionalFormatting>
  <conditionalFormatting sqref="M126">
    <cfRule type="expression" dxfId="630" priority="147">
      <formula>J126="Requires Attention"</formula>
    </cfRule>
  </conditionalFormatting>
  <conditionalFormatting sqref="M127:M134">
    <cfRule type="expression" dxfId="629" priority="146">
      <formula>J127="Requires Attention"</formula>
    </cfRule>
  </conditionalFormatting>
  <conditionalFormatting sqref="N125:N135">
    <cfRule type="cellIs" dxfId="628" priority="145" operator="equal">
      <formula>"NO"</formula>
    </cfRule>
  </conditionalFormatting>
  <conditionalFormatting sqref="B125:B133">
    <cfRule type="cellIs" dxfId="627" priority="144" operator="equal">
      <formula>"Active"</formula>
    </cfRule>
  </conditionalFormatting>
  <conditionalFormatting sqref="B134:B135">
    <cfRule type="cellIs" dxfId="626" priority="143" operator="equal">
      <formula>"Active"</formula>
    </cfRule>
  </conditionalFormatting>
  <conditionalFormatting sqref="L125:L133">
    <cfRule type="cellIs" dxfId="625" priority="142" operator="equal">
      <formula>"Active"</formula>
    </cfRule>
  </conditionalFormatting>
  <conditionalFormatting sqref="L134:L135">
    <cfRule type="cellIs" dxfId="624" priority="141" operator="equal">
      <formula>"Active"</formula>
    </cfRule>
  </conditionalFormatting>
  <conditionalFormatting sqref="A35">
    <cfRule type="cellIs" dxfId="623" priority="121" operator="equal">
      <formula>"Print"</formula>
    </cfRule>
  </conditionalFormatting>
  <conditionalFormatting sqref="A135">
    <cfRule type="cellIs" dxfId="622" priority="130" operator="equal">
      <formula>"Print"</formula>
    </cfRule>
  </conditionalFormatting>
  <conditionalFormatting sqref="A37">
    <cfRule type="cellIs" dxfId="621" priority="120" operator="equal">
      <formula>"Print"</formula>
    </cfRule>
  </conditionalFormatting>
  <conditionalFormatting sqref="A38">
    <cfRule type="cellIs" dxfId="620" priority="119" operator="equal">
      <formula>"Print"</formula>
    </cfRule>
  </conditionalFormatting>
  <conditionalFormatting sqref="A39">
    <cfRule type="cellIs" dxfId="619" priority="118" operator="equal">
      <formula>"Print"</formula>
    </cfRule>
  </conditionalFormatting>
  <conditionalFormatting sqref="A43">
    <cfRule type="cellIs" dxfId="618" priority="114" operator="equal">
      <formula>"Print"</formula>
    </cfRule>
  </conditionalFormatting>
  <conditionalFormatting sqref="A44">
    <cfRule type="cellIs" dxfId="617" priority="113" operator="equal">
      <formula>"Print"</formula>
    </cfRule>
  </conditionalFormatting>
  <conditionalFormatting sqref="A45">
    <cfRule type="cellIs" dxfId="616" priority="112" operator="equal">
      <formula>"Print"</formula>
    </cfRule>
  </conditionalFormatting>
  <conditionalFormatting sqref="A46">
    <cfRule type="cellIs" dxfId="615" priority="111" operator="equal">
      <formula>"Print"</formula>
    </cfRule>
  </conditionalFormatting>
  <conditionalFormatting sqref="A48">
    <cfRule type="cellIs" dxfId="614" priority="110" operator="equal">
      <formula>"Print"</formula>
    </cfRule>
  </conditionalFormatting>
  <conditionalFormatting sqref="A49">
    <cfRule type="cellIs" dxfId="613" priority="109" operator="equal">
      <formula>"Print"</formula>
    </cfRule>
  </conditionalFormatting>
  <conditionalFormatting sqref="A50">
    <cfRule type="cellIs" dxfId="612" priority="108" operator="equal">
      <formula>"Print"</formula>
    </cfRule>
  </conditionalFormatting>
  <conditionalFormatting sqref="A52">
    <cfRule type="cellIs" dxfId="611" priority="106" operator="equal">
      <formula>"Print"</formula>
    </cfRule>
  </conditionalFormatting>
  <conditionalFormatting sqref="A53">
    <cfRule type="cellIs" dxfId="610" priority="105" operator="equal">
      <formula>"Print"</formula>
    </cfRule>
  </conditionalFormatting>
  <conditionalFormatting sqref="A54">
    <cfRule type="cellIs" dxfId="609" priority="104" operator="equal">
      <formula>"Print"</formula>
    </cfRule>
  </conditionalFormatting>
  <conditionalFormatting sqref="A55">
    <cfRule type="cellIs" dxfId="608" priority="103" operator="equal">
      <formula>"Print"</formula>
    </cfRule>
  </conditionalFormatting>
  <conditionalFormatting sqref="A56">
    <cfRule type="cellIs" dxfId="607" priority="102" operator="equal">
      <formula>"Print"</formula>
    </cfRule>
  </conditionalFormatting>
  <conditionalFormatting sqref="A57">
    <cfRule type="cellIs" dxfId="606" priority="101" operator="equal">
      <formula>"Print"</formula>
    </cfRule>
  </conditionalFormatting>
  <conditionalFormatting sqref="A59">
    <cfRule type="cellIs" dxfId="605" priority="100" operator="equal">
      <formula>"Print"</formula>
    </cfRule>
  </conditionalFormatting>
  <conditionalFormatting sqref="A60">
    <cfRule type="cellIs" dxfId="604" priority="99" operator="equal">
      <formula>"Print"</formula>
    </cfRule>
  </conditionalFormatting>
  <conditionalFormatting sqref="A61">
    <cfRule type="cellIs" dxfId="603" priority="98" operator="equal">
      <formula>"Print"</formula>
    </cfRule>
  </conditionalFormatting>
  <conditionalFormatting sqref="A62">
    <cfRule type="cellIs" dxfId="602" priority="97" operator="equal">
      <formula>"Print"</formula>
    </cfRule>
  </conditionalFormatting>
  <conditionalFormatting sqref="A63">
    <cfRule type="cellIs" dxfId="601" priority="96" operator="equal">
      <formula>"Print"</formula>
    </cfRule>
  </conditionalFormatting>
  <conditionalFormatting sqref="A64">
    <cfRule type="cellIs" dxfId="600" priority="95" operator="equal">
      <formula>"Print"</formula>
    </cfRule>
  </conditionalFormatting>
  <conditionalFormatting sqref="A65">
    <cfRule type="cellIs" dxfId="599" priority="94" operator="equal">
      <formula>"Print"</formula>
    </cfRule>
  </conditionalFormatting>
  <conditionalFormatting sqref="A66">
    <cfRule type="cellIs" dxfId="598" priority="93" operator="equal">
      <formula>"Print"</formula>
    </cfRule>
  </conditionalFormatting>
  <conditionalFormatting sqref="A67">
    <cfRule type="cellIs" dxfId="597" priority="92" operator="equal">
      <formula>"Print"</formula>
    </cfRule>
  </conditionalFormatting>
  <conditionalFormatting sqref="A68">
    <cfRule type="cellIs" dxfId="596" priority="91" operator="equal">
      <formula>"Print"</formula>
    </cfRule>
  </conditionalFormatting>
  <conditionalFormatting sqref="A70">
    <cfRule type="cellIs" dxfId="595" priority="90" operator="equal">
      <formula>"Print"</formula>
    </cfRule>
  </conditionalFormatting>
  <conditionalFormatting sqref="A71">
    <cfRule type="cellIs" dxfId="594" priority="89" operator="equal">
      <formula>"Print"</formula>
    </cfRule>
  </conditionalFormatting>
  <conditionalFormatting sqref="A72">
    <cfRule type="cellIs" dxfId="593" priority="88" operator="equal">
      <formula>"Print"</formula>
    </cfRule>
  </conditionalFormatting>
  <conditionalFormatting sqref="A73">
    <cfRule type="cellIs" dxfId="592" priority="87" operator="equal">
      <formula>"Print"</formula>
    </cfRule>
  </conditionalFormatting>
  <conditionalFormatting sqref="A74">
    <cfRule type="cellIs" dxfId="591" priority="86" operator="equal">
      <formula>"Print"</formula>
    </cfRule>
  </conditionalFormatting>
  <conditionalFormatting sqref="A75">
    <cfRule type="cellIs" dxfId="590" priority="85" operator="equal">
      <formula>"Print"</formula>
    </cfRule>
  </conditionalFormatting>
  <conditionalFormatting sqref="A76">
    <cfRule type="cellIs" dxfId="589" priority="84" operator="equal">
      <formula>"Print"</formula>
    </cfRule>
  </conditionalFormatting>
  <conditionalFormatting sqref="A77">
    <cfRule type="cellIs" dxfId="588" priority="83" operator="equal">
      <formula>"Print"</formula>
    </cfRule>
  </conditionalFormatting>
  <conditionalFormatting sqref="A78">
    <cfRule type="cellIs" dxfId="587" priority="82" operator="equal">
      <formula>"Print"</formula>
    </cfRule>
  </conditionalFormatting>
  <conditionalFormatting sqref="A79">
    <cfRule type="cellIs" dxfId="586" priority="81" operator="equal">
      <formula>"Print"</formula>
    </cfRule>
  </conditionalFormatting>
  <conditionalFormatting sqref="A81">
    <cfRule type="cellIs" dxfId="585" priority="80" operator="equal">
      <formula>"Print"</formula>
    </cfRule>
  </conditionalFormatting>
  <conditionalFormatting sqref="A82">
    <cfRule type="cellIs" dxfId="584" priority="79" operator="equal">
      <formula>"Print"</formula>
    </cfRule>
  </conditionalFormatting>
  <conditionalFormatting sqref="A83">
    <cfRule type="cellIs" dxfId="583" priority="78" operator="equal">
      <formula>"Print"</formula>
    </cfRule>
  </conditionalFormatting>
  <conditionalFormatting sqref="A84">
    <cfRule type="cellIs" dxfId="582" priority="77" operator="equal">
      <formula>"Print"</formula>
    </cfRule>
  </conditionalFormatting>
  <conditionalFormatting sqref="A85">
    <cfRule type="cellIs" dxfId="581" priority="76" operator="equal">
      <formula>"Print"</formula>
    </cfRule>
  </conditionalFormatting>
  <conditionalFormatting sqref="A86">
    <cfRule type="cellIs" dxfId="580" priority="75" operator="equal">
      <formula>"Print"</formula>
    </cfRule>
  </conditionalFormatting>
  <conditionalFormatting sqref="A87">
    <cfRule type="cellIs" dxfId="579" priority="74" operator="equal">
      <formula>"Print"</formula>
    </cfRule>
  </conditionalFormatting>
  <conditionalFormatting sqref="A88">
    <cfRule type="cellIs" dxfId="578" priority="73" operator="equal">
      <formula>"Print"</formula>
    </cfRule>
  </conditionalFormatting>
  <conditionalFormatting sqref="A89">
    <cfRule type="cellIs" dxfId="577" priority="72" operator="equal">
      <formula>"Print"</formula>
    </cfRule>
  </conditionalFormatting>
  <conditionalFormatting sqref="A90">
    <cfRule type="cellIs" dxfId="576" priority="71" operator="equal">
      <formula>"Print"</formula>
    </cfRule>
  </conditionalFormatting>
  <conditionalFormatting sqref="A92">
    <cfRule type="cellIs" dxfId="575" priority="70" operator="equal">
      <formula>"Print"</formula>
    </cfRule>
  </conditionalFormatting>
  <conditionalFormatting sqref="A93">
    <cfRule type="cellIs" dxfId="574" priority="69" operator="equal">
      <formula>"Print"</formula>
    </cfRule>
  </conditionalFormatting>
  <conditionalFormatting sqref="A94">
    <cfRule type="cellIs" dxfId="573" priority="68" operator="equal">
      <formula>"Print"</formula>
    </cfRule>
  </conditionalFormatting>
  <conditionalFormatting sqref="A95">
    <cfRule type="cellIs" dxfId="572" priority="67" operator="equal">
      <formula>"Print"</formula>
    </cfRule>
  </conditionalFormatting>
  <conditionalFormatting sqref="A96">
    <cfRule type="cellIs" dxfId="571" priority="66" operator="equal">
      <formula>"Print"</formula>
    </cfRule>
  </conditionalFormatting>
  <conditionalFormatting sqref="A97">
    <cfRule type="cellIs" dxfId="570" priority="65" operator="equal">
      <formula>"Print"</formula>
    </cfRule>
  </conditionalFormatting>
  <conditionalFormatting sqref="A98">
    <cfRule type="cellIs" dxfId="569" priority="64" operator="equal">
      <formula>"Print"</formula>
    </cfRule>
  </conditionalFormatting>
  <conditionalFormatting sqref="A99">
    <cfRule type="cellIs" dxfId="568" priority="63" operator="equal">
      <formula>"Print"</formula>
    </cfRule>
  </conditionalFormatting>
  <conditionalFormatting sqref="A100">
    <cfRule type="cellIs" dxfId="567" priority="62" operator="equal">
      <formula>"Print"</formula>
    </cfRule>
  </conditionalFormatting>
  <conditionalFormatting sqref="A101">
    <cfRule type="cellIs" dxfId="566" priority="61" operator="equal">
      <formula>"Print"</formula>
    </cfRule>
  </conditionalFormatting>
  <conditionalFormatting sqref="A103">
    <cfRule type="cellIs" dxfId="565" priority="30" operator="equal">
      <formula>"Print"</formula>
    </cfRule>
  </conditionalFormatting>
  <conditionalFormatting sqref="A104">
    <cfRule type="cellIs" dxfId="564" priority="29" operator="equal">
      <formula>"Print"</formula>
    </cfRule>
  </conditionalFormatting>
  <conditionalFormatting sqref="A105">
    <cfRule type="cellIs" dxfId="563" priority="28" operator="equal">
      <formula>"Print"</formula>
    </cfRule>
  </conditionalFormatting>
  <conditionalFormatting sqref="A106">
    <cfRule type="cellIs" dxfId="562" priority="27" operator="equal">
      <formula>"Print"</formula>
    </cfRule>
  </conditionalFormatting>
  <conditionalFormatting sqref="A107">
    <cfRule type="cellIs" dxfId="561" priority="26" operator="equal">
      <formula>"Print"</formula>
    </cfRule>
  </conditionalFormatting>
  <conditionalFormatting sqref="A108">
    <cfRule type="cellIs" dxfId="560" priority="25" operator="equal">
      <formula>"Print"</formula>
    </cfRule>
  </conditionalFormatting>
  <conditionalFormatting sqref="A109">
    <cfRule type="cellIs" dxfId="559" priority="24" operator="equal">
      <formula>"Print"</formula>
    </cfRule>
  </conditionalFormatting>
  <conditionalFormatting sqref="A110">
    <cfRule type="cellIs" dxfId="558" priority="23" operator="equal">
      <formula>"Print"</formula>
    </cfRule>
  </conditionalFormatting>
  <conditionalFormatting sqref="A111">
    <cfRule type="cellIs" dxfId="557" priority="22" operator="equal">
      <formula>"Print"</formula>
    </cfRule>
  </conditionalFormatting>
  <conditionalFormatting sqref="A112">
    <cfRule type="cellIs" dxfId="556" priority="21" operator="equal">
      <formula>"Print"</formula>
    </cfRule>
  </conditionalFormatting>
  <conditionalFormatting sqref="A114">
    <cfRule type="cellIs" dxfId="555" priority="20" operator="equal">
      <formula>"Print"</formula>
    </cfRule>
  </conditionalFormatting>
  <conditionalFormatting sqref="A115">
    <cfRule type="cellIs" dxfId="554" priority="19" operator="equal">
      <formula>"Print"</formula>
    </cfRule>
  </conditionalFormatting>
  <conditionalFormatting sqref="A116">
    <cfRule type="cellIs" dxfId="553" priority="18" operator="equal">
      <formula>"Print"</formula>
    </cfRule>
  </conditionalFormatting>
  <conditionalFormatting sqref="A117">
    <cfRule type="cellIs" dxfId="552" priority="17" operator="equal">
      <formula>"Print"</formula>
    </cfRule>
  </conditionalFormatting>
  <conditionalFormatting sqref="A118">
    <cfRule type="cellIs" dxfId="551" priority="16" operator="equal">
      <formula>"Print"</formula>
    </cfRule>
  </conditionalFormatting>
  <conditionalFormatting sqref="A119">
    <cfRule type="cellIs" dxfId="550" priority="15" operator="equal">
      <formula>"Print"</formula>
    </cfRule>
  </conditionalFormatting>
  <conditionalFormatting sqref="A120">
    <cfRule type="cellIs" dxfId="549" priority="14" operator="equal">
      <formula>"Print"</formula>
    </cfRule>
  </conditionalFormatting>
  <conditionalFormatting sqref="A121">
    <cfRule type="cellIs" dxfId="548" priority="13" operator="equal">
      <formula>"Print"</formula>
    </cfRule>
  </conditionalFormatting>
  <conditionalFormatting sqref="A122">
    <cfRule type="cellIs" dxfId="547" priority="12" operator="equal">
      <formula>"Print"</formula>
    </cfRule>
  </conditionalFormatting>
  <conditionalFormatting sqref="A123">
    <cfRule type="cellIs" dxfId="546" priority="11" operator="equal">
      <formula>"Print"</formula>
    </cfRule>
  </conditionalFormatting>
  <conditionalFormatting sqref="A125">
    <cfRule type="cellIs" dxfId="545" priority="10" operator="equal">
      <formula>"Print"</formula>
    </cfRule>
  </conditionalFormatting>
  <conditionalFormatting sqref="A126">
    <cfRule type="cellIs" dxfId="544" priority="9" operator="equal">
      <formula>"Print"</formula>
    </cfRule>
  </conditionalFormatting>
  <conditionalFormatting sqref="A127">
    <cfRule type="cellIs" dxfId="543" priority="8" operator="equal">
      <formula>"Print"</formula>
    </cfRule>
  </conditionalFormatting>
  <conditionalFormatting sqref="A128">
    <cfRule type="cellIs" dxfId="542" priority="7" operator="equal">
      <formula>"Print"</formula>
    </cfRule>
  </conditionalFormatting>
  <conditionalFormatting sqref="A129">
    <cfRule type="cellIs" dxfId="541" priority="6" operator="equal">
      <formula>"Print"</formula>
    </cfRule>
  </conditionalFormatting>
  <conditionalFormatting sqref="A130">
    <cfRule type="cellIs" dxfId="540" priority="5" operator="equal">
      <formula>"Print"</formula>
    </cfRule>
  </conditionalFormatting>
  <conditionalFormatting sqref="A131">
    <cfRule type="cellIs" dxfId="539" priority="4" operator="equal">
      <formula>"Print"</formula>
    </cfRule>
  </conditionalFormatting>
  <conditionalFormatting sqref="A132">
    <cfRule type="cellIs" dxfId="538" priority="3" operator="equal">
      <formula>"Print"</formula>
    </cfRule>
  </conditionalFormatting>
  <conditionalFormatting sqref="A133">
    <cfRule type="cellIs" dxfId="537" priority="2" operator="equal">
      <formula>"Print"</formula>
    </cfRule>
  </conditionalFormatting>
  <conditionalFormatting sqref="A134">
    <cfRule type="cellIs" dxfId="536" priority="1" operator="equal">
      <formula>"Print"</formula>
    </cfRule>
  </conditionalFormatting>
  <pageMargins left="0.59055118110236227" right="0.59055118110236227" top="0.59055118110236227" bottom="0.59055118110236227" header="0.19685039370078741" footer="0.19685039370078741"/>
  <pageSetup paperSize="9" fitToHeight="0" orientation="portrait" r:id="rId1"/>
  <headerFooter>
    <oddFooter>&amp;C&amp;"-,Bold"&amp;8&amp;K04-021Page &amp;P of &amp;N&amp;R&amp;"-,Bold"&amp;8&amp;K04-024PART A</oddFooter>
  </headerFooter>
  <drawing r:id="rId2"/>
  <legacyDrawing r:id="rId3"/>
  <controls>
    <mc:AlternateContent xmlns:mc="http://schemas.openxmlformats.org/markup-compatibility/2006">
      <mc:Choice Requires="x14">
        <control shapeId="2073" r:id="rId4" name="KPA_Hide_Inactive">
          <controlPr autoLine="0" r:id="rId5">
            <anchor moveWithCells="1" sizeWithCells="1">
              <from>
                <xdr:col>12</xdr:col>
                <xdr:colOff>31750</xdr:colOff>
                <xdr:row>0</xdr:row>
                <xdr:rowOff>12700</xdr:rowOff>
              </from>
              <to>
                <xdr:col>12</xdr:col>
                <xdr:colOff>2698750</xdr:colOff>
                <xdr:row>1</xdr:row>
                <xdr:rowOff>127000</xdr:rowOff>
              </to>
            </anchor>
          </controlPr>
        </control>
      </mc:Choice>
      <mc:Fallback>
        <control shapeId="2073" r:id="rId4" name="KPA_Hide_Inactive"/>
      </mc:Fallback>
    </mc:AlternateContent>
    <mc:AlternateContent xmlns:mc="http://schemas.openxmlformats.org/markup-compatibility/2006">
      <mc:Choice Requires="x14">
        <control shapeId="2074" r:id="rId6" name="KPA_Show_All">
          <controlPr autoLine="0" r:id="rId7">
            <anchor moveWithCells="1">
              <from>
                <xdr:col>12</xdr:col>
                <xdr:colOff>31750</xdr:colOff>
                <xdr:row>1</xdr:row>
                <xdr:rowOff>184150</xdr:rowOff>
              </from>
              <to>
                <xdr:col>12</xdr:col>
                <xdr:colOff>2698750</xdr:colOff>
                <xdr:row>2</xdr:row>
                <xdr:rowOff>177800</xdr:rowOff>
              </to>
            </anchor>
          </controlPr>
        </control>
      </mc:Choice>
      <mc:Fallback>
        <control shapeId="2074" r:id="rId6" name="KPA_Show_All"/>
      </mc:Fallback>
    </mc:AlternateContent>
    <mc:AlternateContent xmlns:mc="http://schemas.openxmlformats.org/markup-compatibility/2006">
      <mc:Choice Requires="x14">
        <control shapeId="2075" r:id="rId8" name="KPA_Print">
          <controlPr autoLine="0" r:id="rId9">
            <anchor moveWithCells="1">
              <from>
                <xdr:col>12</xdr:col>
                <xdr:colOff>31750</xdr:colOff>
                <xdr:row>2</xdr:row>
                <xdr:rowOff>222250</xdr:rowOff>
              </from>
              <to>
                <xdr:col>12</xdr:col>
                <xdr:colOff>2711450</xdr:colOff>
                <xdr:row>3</xdr:row>
                <xdr:rowOff>215900</xdr:rowOff>
              </to>
            </anchor>
          </controlPr>
        </control>
      </mc:Choice>
      <mc:Fallback>
        <control shapeId="2075" r:id="rId8" name="KPA_Print"/>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0000000}">
          <x14:formula1>
            <xm:f>'Factor Lookup'!$A$43:$A$47</xm:f>
          </x14:formula1>
          <xm:sqref>J93:J101 J104:J112 J27:J35 J38:J46 J49:J57 J60:J68 J71:J79 J82:J90 J115:J123 J126:J134</xm:sqref>
        </x14:dataValidation>
        <x14:dataValidation type="list" allowBlank="1" showInputMessage="1" showErrorMessage="1" xr:uid="{00000000-0002-0000-0100-000001000000}">
          <x14:formula1>
            <xm:f>'Factor Lookup'!$A$34:$A$38</xm:f>
          </x14:formula1>
          <xm:sqref>J26 J103 J37 J114 J48 J59 J70 J81 J92 J125</xm:sqref>
        </x14:dataValidation>
        <x14:dataValidation type="list" allowBlank="1" showErrorMessage="1" promptTitle="KPA / KPI Required For Plan" xr:uid="{00000000-0002-0000-0100-000002000000}">
          <x14:formula1>
            <xm:f>'Factor Lookup'!$A$70:$A$71</xm:f>
          </x14:formula1>
          <xm:sqref>N26:N35 N37:N46 N48:N57 N59:N68 N70:N79 N81:N90 N92:N101 N103:N112 N114:N123 N125:N134</xm:sqref>
        </x14:dataValidation>
        <x14:dataValidation type="list" allowBlank="1" showInputMessage="1" showErrorMessage="1" xr:uid="{00000000-0002-0000-0100-000003000000}">
          <x14:formula1>
            <xm:f>'Factor Lookup'!$B$70:$B$71</xm:f>
          </x14:formula1>
          <xm:sqref>A37:A46 A114:A123 A48:A57 A70:A79 A81:A90 A92:A101 A103:A112 A26:A35 A59:A68 A125:A134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L57"/>
  <sheetViews>
    <sheetView zoomScale="120" zoomScaleNormal="120" workbookViewId="0">
      <pane xSplit="1" ySplit="7" topLeftCell="B72" activePane="bottomRight" state="frozen"/>
      <selection pane="topRight" activeCell="B1" sqref="B1"/>
      <selection pane="bottomLeft" activeCell="A8" sqref="A8"/>
      <selection pane="bottomRight" activeCell="I44" sqref="I44:J44"/>
    </sheetView>
  </sheetViews>
  <sheetFormatPr defaultColWidth="37.54296875" defaultRowHeight="25" customHeight="1" x14ac:dyDescent="0.35"/>
  <cols>
    <col min="1" max="1" width="1.54296875" style="24" customWidth="1"/>
    <col min="2" max="2" width="2.54296875" style="31" customWidth="1"/>
    <col min="3" max="3" width="51.54296875" style="31" customWidth="1"/>
    <col min="4" max="8" width="15.54296875" style="31" hidden="1" customWidth="1"/>
    <col min="9" max="9" width="12.54296875" style="31" customWidth="1"/>
    <col min="10" max="10" width="22.54296875" style="31" customWidth="1"/>
    <col min="11" max="11" width="1.54296875" style="24" customWidth="1"/>
    <col min="12" max="12" width="40.54296875" style="31" customWidth="1"/>
    <col min="13" max="16384" width="37.54296875" style="31"/>
  </cols>
  <sheetData>
    <row r="1" spans="1:12" ht="10" customHeight="1" x14ac:dyDescent="0.35">
      <c r="A1" s="175"/>
      <c r="B1" s="178"/>
      <c r="C1" s="178"/>
      <c r="D1" s="178"/>
      <c r="E1" s="178"/>
      <c r="F1" s="178"/>
      <c r="G1" s="178"/>
      <c r="H1" s="178"/>
      <c r="I1" s="178"/>
      <c r="J1" s="178"/>
      <c r="K1" s="175"/>
    </row>
    <row r="2" spans="1:12" s="24" customFormat="1" ht="20.149999999999999" customHeight="1" x14ac:dyDescent="0.35">
      <c r="A2" s="175"/>
      <c r="B2" s="1" t="s">
        <v>0</v>
      </c>
      <c r="I2" s="3" t="s">
        <v>24</v>
      </c>
      <c r="J2" s="189">
        <f>Setup!B14</f>
        <v>45246</v>
      </c>
      <c r="K2" s="175"/>
    </row>
    <row r="3" spans="1:12" s="24" customFormat="1" ht="20.149999999999999" customHeight="1" x14ac:dyDescent="0.35">
      <c r="A3" s="174"/>
      <c r="B3" s="1" t="s">
        <v>62</v>
      </c>
      <c r="D3" s="25" t="s">
        <v>26</v>
      </c>
      <c r="E3" s="25" t="s">
        <v>26</v>
      </c>
      <c r="F3" s="25" t="s">
        <v>26</v>
      </c>
      <c r="G3" s="25" t="s">
        <v>26</v>
      </c>
      <c r="H3" s="25" t="s">
        <v>26</v>
      </c>
      <c r="I3" s="3" t="s">
        <v>27</v>
      </c>
      <c r="J3" s="190" t="str">
        <f>Setup!B7</f>
        <v>Parker</v>
      </c>
      <c r="K3" s="174"/>
    </row>
    <row r="4" spans="1:12" s="24" customFormat="1" ht="20.149999999999999" customHeight="1" thickBot="1" x14ac:dyDescent="0.4">
      <c r="A4" s="174"/>
      <c r="B4" s="188" t="str">
        <f>"Division / Syndicate -  "&amp;Setup!B6&amp;" | Department -  "&amp;Setup!B10</f>
        <v>Division / Syndicate -  Wits RHI | Department -  Climate and Health</v>
      </c>
      <c r="C4" s="167"/>
      <c r="I4" s="3" t="s">
        <v>28</v>
      </c>
      <c r="J4" s="191" t="str">
        <f>Setup!B8</f>
        <v>Craig</v>
      </c>
      <c r="K4" s="174"/>
    </row>
    <row r="5" spans="1:12" s="24" customFormat="1" ht="20.149999999999999" customHeight="1" thickTop="1" x14ac:dyDescent="0.35">
      <c r="A5" s="174"/>
      <c r="B5" s="188" t="str">
        <f>"Employee Review Category -  "&amp;Setup!B4</f>
        <v>Employee Review Category -  Professional / Skilled</v>
      </c>
      <c r="C5" s="167"/>
      <c r="I5" s="3" t="s">
        <v>29</v>
      </c>
      <c r="J5" s="191" t="str">
        <f>Setup!B9</f>
        <v>B0158</v>
      </c>
      <c r="K5" s="174"/>
      <c r="L5" s="276" t="s">
        <v>30</v>
      </c>
    </row>
    <row r="6" spans="1:12" s="24" customFormat="1" ht="20.149999999999999" customHeight="1" thickBot="1" x14ac:dyDescent="0.4">
      <c r="A6" s="174"/>
      <c r="B6" s="188" t="str">
        <f>"Review Type - "&amp;Setup!B15</f>
        <v>Review Type - FINAL</v>
      </c>
      <c r="C6" s="167"/>
      <c r="I6" s="3" t="s">
        <v>32</v>
      </c>
      <c r="J6" s="189">
        <f>Setup!B16</f>
        <v>45291</v>
      </c>
      <c r="K6" s="174"/>
      <c r="L6" s="277"/>
    </row>
    <row r="7" spans="1:12" s="24" customFormat="1" ht="5.15" customHeight="1" thickTop="1" thickBot="1" x14ac:dyDescent="0.4">
      <c r="A7" s="174"/>
      <c r="B7" s="26"/>
      <c r="C7" s="27"/>
      <c r="D7" s="27"/>
      <c r="E7" s="27"/>
      <c r="F7" s="27"/>
      <c r="G7" s="27"/>
      <c r="H7" s="27"/>
      <c r="I7" s="28"/>
      <c r="J7" s="29"/>
      <c r="K7" s="174"/>
    </row>
    <row r="8" spans="1:12" ht="15" customHeight="1" thickBot="1" x14ac:dyDescent="0.4">
      <c r="A8" s="175"/>
      <c r="B8" s="192"/>
      <c r="C8" s="24"/>
      <c r="I8" s="32"/>
      <c r="J8" s="33"/>
      <c r="K8" s="175"/>
    </row>
    <row r="9" spans="1:12" s="2" customFormat="1" ht="25" customHeight="1" thickTop="1" thickBot="1" x14ac:dyDescent="0.4">
      <c r="A9" s="175"/>
      <c r="B9" s="179" t="s">
        <v>63</v>
      </c>
      <c r="C9" s="180"/>
      <c r="D9" s="181"/>
      <c r="E9" s="182"/>
      <c r="F9" s="181"/>
      <c r="G9" s="181"/>
      <c r="H9" s="181"/>
      <c r="I9" s="181"/>
      <c r="J9" s="183" t="s">
        <v>64</v>
      </c>
      <c r="K9" s="175"/>
    </row>
    <row r="10" spans="1:12" s="11" customFormat="1" ht="15" customHeight="1" thickTop="1" x14ac:dyDescent="0.35">
      <c r="A10" s="175"/>
      <c r="B10" s="184" t="s">
        <v>37</v>
      </c>
      <c r="C10" s="185"/>
      <c r="D10" s="185"/>
      <c r="E10" s="185"/>
      <c r="F10" s="185"/>
      <c r="G10" s="185"/>
      <c r="H10" s="185"/>
      <c r="I10" s="185"/>
      <c r="J10" s="186"/>
      <c r="K10" s="175"/>
    </row>
    <row r="11" spans="1:12" s="11" customFormat="1" ht="35.15" customHeight="1" x14ac:dyDescent="0.35">
      <c r="A11" s="176"/>
      <c r="B11" s="282" t="str">
        <f>'Factor Lookup'!A44&amp;" - "&amp;'Factor Lookup'!C44</f>
        <v>Requires Attention - Employee performance does not always meet required standards or expectations. Some necessary competencies and knowledge are demonstrated, but employee frequently requires guidance and supervision. Individual may be newly appointed and requires time to develop into the position.</v>
      </c>
      <c r="C11" s="283"/>
      <c r="D11" s="283"/>
      <c r="E11" s="283"/>
      <c r="F11" s="283"/>
      <c r="G11" s="283"/>
      <c r="H11" s="283"/>
      <c r="I11" s="283"/>
      <c r="J11" s="284"/>
      <c r="K11" s="176"/>
    </row>
    <row r="12" spans="1:12" s="11" customFormat="1" ht="35.15" customHeight="1" x14ac:dyDescent="0.35">
      <c r="A12" s="176"/>
      <c r="B12" s="282" t="str">
        <f>'Factor Lookup'!A45&amp;" - "&amp;'Factor Lookup'!C45</f>
        <v>Meets Requirement - Employee meets requirements and expectations. Requisite job competencies and knowledge are at an acceptable level. Employee performs assigned responsibilities consistently well.</v>
      </c>
      <c r="C12" s="283"/>
      <c r="D12" s="283"/>
      <c r="E12" s="283"/>
      <c r="F12" s="283"/>
      <c r="G12" s="283"/>
      <c r="H12" s="283"/>
      <c r="I12" s="283"/>
      <c r="J12" s="284"/>
      <c r="K12" s="176"/>
    </row>
    <row r="13" spans="1:12" s="11" customFormat="1" ht="35.15" customHeight="1" x14ac:dyDescent="0.35">
      <c r="A13" s="176"/>
      <c r="B13" s="282" t="str">
        <f>'Factor Lookup'!A46&amp;" - "&amp;'Factor Lookup'!C46</f>
        <v>Exceeds Requirement - Consistently meets and often exceeds all relevant performance standards. Shows initiative and versatility, works collaboratively, shows high degree of skill and knowledge in these areas</v>
      </c>
      <c r="C13" s="283"/>
      <c r="D13" s="283"/>
      <c r="E13" s="283"/>
      <c r="F13" s="283"/>
      <c r="G13" s="283"/>
      <c r="H13" s="283"/>
      <c r="I13" s="283"/>
      <c r="J13" s="284"/>
      <c r="K13" s="176"/>
    </row>
    <row r="14" spans="1:12" s="11" customFormat="1" ht="35.15" customHeight="1" thickBot="1" x14ac:dyDescent="0.4">
      <c r="A14" s="176"/>
      <c r="B14" s="285" t="str">
        <f>'Factor Lookup'!A47&amp;" - "&amp;'Factor Lookup'!C47</f>
        <v>Strength - Performance far exceeds all standards and expectations. Performance consistently results in the best possible attainment and demonstrates an extraordinary level of skill.</v>
      </c>
      <c r="C14" s="286"/>
      <c r="D14" s="286"/>
      <c r="E14" s="286"/>
      <c r="F14" s="286"/>
      <c r="G14" s="286"/>
      <c r="H14" s="286"/>
      <c r="I14" s="286"/>
      <c r="J14" s="287"/>
      <c r="K14" s="176"/>
    </row>
    <row r="15" spans="1:12" ht="15" customHeight="1" thickTop="1" x14ac:dyDescent="0.35">
      <c r="A15" s="176"/>
      <c r="B15" s="30"/>
      <c r="C15" s="24"/>
      <c r="I15" s="32"/>
      <c r="J15" s="33"/>
      <c r="K15" s="176"/>
    </row>
    <row r="16" spans="1:12" ht="5.15" customHeight="1" thickBot="1" x14ac:dyDescent="0.4">
      <c r="A16" s="176"/>
      <c r="B16" s="30"/>
      <c r="C16" s="24"/>
      <c r="I16" s="32"/>
      <c r="J16" s="33"/>
      <c r="K16" s="176"/>
    </row>
    <row r="17" spans="1:12" s="2" customFormat="1" ht="20.149999999999999" customHeight="1" thickTop="1" thickBot="1" x14ac:dyDescent="0.4">
      <c r="A17" s="176"/>
      <c r="B17" s="12" t="s">
        <v>65</v>
      </c>
      <c r="C17" s="13"/>
      <c r="D17" s="13"/>
      <c r="E17" s="13"/>
      <c r="F17" s="13"/>
      <c r="G17" s="13"/>
      <c r="H17" s="13"/>
      <c r="I17" s="13"/>
      <c r="J17" s="14"/>
      <c r="K17" s="176"/>
    </row>
    <row r="18" spans="1:12" ht="10" customHeight="1" thickTop="1" thickBot="1" x14ac:dyDescent="0.4">
      <c r="A18" s="176"/>
      <c r="J18" s="34"/>
      <c r="K18" s="176"/>
    </row>
    <row r="19" spans="1:12" s="11" customFormat="1" ht="20.149999999999999" customHeight="1" thickTop="1" thickBot="1" x14ac:dyDescent="0.35">
      <c r="A19" s="176"/>
      <c r="B19" s="16" t="s">
        <v>40</v>
      </c>
      <c r="C19" s="35" t="str">
        <f>'Competency Lookup'!B7</f>
        <v xml:space="preserve">Reliability: </v>
      </c>
      <c r="D19" s="36">
        <f>IF(C19="","",1)</f>
        <v>1</v>
      </c>
      <c r="E19" s="36">
        <f>IF(I19='Factor Lookup'!$A$43,"",VLOOKUP(I19,'Factor Lookup'!$A$43:$B$47,2,))</f>
        <v>2</v>
      </c>
      <c r="F19" s="23"/>
      <c r="G19" s="23"/>
      <c r="H19" s="37"/>
      <c r="I19" s="288" t="s">
        <v>132</v>
      </c>
      <c r="J19" s="289"/>
      <c r="K19" s="176"/>
      <c r="L19" s="187" t="str">
        <f>IF(I19="Requires Attention","Detail Corrective Action Below","")</f>
        <v/>
      </c>
    </row>
    <row r="20" spans="1:12" ht="95.15" customHeight="1" thickTop="1" thickBot="1" x14ac:dyDescent="0.4">
      <c r="A20" s="176"/>
      <c r="B20" s="38"/>
      <c r="C20" s="39" t="str">
        <f>'Competency Lookup'!C8</f>
        <v>Demonstrates a high level of dependability in all aspects of the job; completes all assigned tasks on time and with minimal supervision; behaves consistently and predictably; diligently follows through on commitments and consistently meets deadlines; demonstrates regular and punctual attendance at work; rarely is late for meetings or appointments; informs appropriate individuals when assigned tasks will not be completed in agreed time frame.</v>
      </c>
      <c r="D20" s="38"/>
      <c r="E20" s="38"/>
      <c r="F20" s="38"/>
      <c r="G20" s="38"/>
      <c r="H20" s="38"/>
      <c r="I20" s="38"/>
      <c r="J20" s="40"/>
      <c r="K20" s="176"/>
      <c r="L20" s="41"/>
    </row>
    <row r="21" spans="1:12" s="11" customFormat="1" ht="20.149999999999999" customHeight="1" thickTop="1" thickBot="1" x14ac:dyDescent="0.35">
      <c r="A21" s="176"/>
      <c r="B21" s="16" t="s">
        <v>47</v>
      </c>
      <c r="C21" s="35" t="str">
        <f>'Competency Lookup'!B9</f>
        <v>Integrity:</v>
      </c>
      <c r="D21" s="36">
        <f>IF(C21="","",1)</f>
        <v>1</v>
      </c>
      <c r="E21" s="36">
        <f>IF(I21='Factor Lookup'!$A$43,"",VLOOKUP(I21,'Factor Lookup'!$A$43:$B$47,2,))</f>
        <v>2</v>
      </c>
      <c r="F21" s="23"/>
      <c r="G21" s="23"/>
      <c r="H21" s="37"/>
      <c r="I21" s="288" t="s">
        <v>132</v>
      </c>
      <c r="J21" s="289"/>
      <c r="K21" s="176"/>
      <c r="L21" s="187" t="str">
        <f>IF(I21="Requires Attention","Detail Corrective Action Below","")</f>
        <v/>
      </c>
    </row>
    <row r="22" spans="1:12" ht="95.15" customHeight="1" thickTop="1" thickBot="1" x14ac:dyDescent="0.4">
      <c r="A22" s="176"/>
      <c r="B22" s="38"/>
      <c r="C22" s="39" t="str">
        <f>'Competency Lookup'!C10</f>
        <v xml:space="preserve">Acts consistently in an honest and trustworthy manner based on personal accountability and a moral conviction to do the right thing; does not violate or compromise the confidentiality of information; is able to recognise actions and situations which are in conflict with organisational ethics and values; promises only what can reasonably be delivered; appropriately and consistently complies with the organisations policies and procedures. </v>
      </c>
      <c r="D22" s="38"/>
      <c r="E22" s="38"/>
      <c r="F22" s="38"/>
      <c r="G22" s="38"/>
      <c r="H22" s="38"/>
      <c r="I22" s="38"/>
      <c r="J22" s="40"/>
      <c r="K22" s="176"/>
      <c r="L22" s="41"/>
    </row>
    <row r="23" spans="1:12" s="11" customFormat="1" ht="20.149999999999999" customHeight="1" thickTop="1" thickBot="1" x14ac:dyDescent="0.35">
      <c r="A23" s="176"/>
      <c r="B23" s="16" t="s">
        <v>48</v>
      </c>
      <c r="C23" s="35" t="str">
        <f>'Competency Lookup'!B11</f>
        <v>Accountability:</v>
      </c>
      <c r="D23" s="36">
        <f>IF(C23="","",1)</f>
        <v>1</v>
      </c>
      <c r="E23" s="36">
        <f>IF(I23='Factor Lookup'!$A$43,"",VLOOKUP(I23,'Factor Lookup'!$A$43:$B$47,2,))</f>
        <v>2</v>
      </c>
      <c r="F23" s="23"/>
      <c r="G23" s="23"/>
      <c r="H23" s="37"/>
      <c r="I23" s="288" t="s">
        <v>132</v>
      </c>
      <c r="J23" s="289"/>
      <c r="K23" s="176"/>
      <c r="L23" s="187" t="str">
        <f>IF(I23="Requires Attention","Detail Corrective Action Below","")</f>
        <v/>
      </c>
    </row>
    <row r="24" spans="1:12" ht="95.15" customHeight="1" thickTop="1" thickBot="1" x14ac:dyDescent="0.4">
      <c r="A24" s="176"/>
      <c r="B24" s="38"/>
      <c r="C24" s="39" t="str">
        <f>'Competency Lookup'!C12</f>
        <v>Demonstrates an understanding of the link between one's own job responsibilities and the overall organisational goals and objectives, and undertakes one's job with the broader goals in mind; takes responsibility for own work activities and personal actions; takes personal ownership in the organisations success; acknowledges and learns from mistakes without blaming others and recognises the impact of one's behaviour on others.</v>
      </c>
      <c r="D24" s="38"/>
      <c r="E24" s="38"/>
      <c r="F24" s="38"/>
      <c r="G24" s="38"/>
      <c r="H24" s="38"/>
      <c r="I24" s="38"/>
      <c r="J24" s="40"/>
      <c r="K24" s="176"/>
      <c r="L24" s="41"/>
    </row>
    <row r="25" spans="1:12" s="11" customFormat="1" ht="20.149999999999999" customHeight="1" thickTop="1" thickBot="1" x14ac:dyDescent="0.35">
      <c r="A25" s="176"/>
      <c r="B25" s="16" t="s">
        <v>49</v>
      </c>
      <c r="C25" s="35" t="str">
        <f>'Competency Lookup'!B13</f>
        <v>Diversity:</v>
      </c>
      <c r="D25" s="36">
        <f>IF(C25="","",1)</f>
        <v>1</v>
      </c>
      <c r="E25" s="36">
        <f>IF(I25='Factor Lookup'!$A$43,"",VLOOKUP(I25,'Factor Lookup'!$A$43:$B$47,2,))</f>
        <v>2</v>
      </c>
      <c r="F25" s="23"/>
      <c r="G25" s="23"/>
      <c r="H25" s="37"/>
      <c r="I25" s="288" t="s">
        <v>132</v>
      </c>
      <c r="J25" s="289"/>
      <c r="K25" s="176"/>
      <c r="L25" s="187" t="str">
        <f>IF(I25="Requires Attention","Detail Corrective Action Below","")</f>
        <v/>
      </c>
    </row>
    <row r="26" spans="1:12" ht="95.15" customHeight="1" thickTop="1" thickBot="1" x14ac:dyDescent="0.4">
      <c r="A26" s="176"/>
      <c r="B26" s="38"/>
      <c r="C26" s="39" t="str">
        <f>'Competency Lookup'!C14</f>
        <v>Demonstrates respect for all differences (i.e. race, gender, ethnic background, customs, beliefs, disabilities, sexual orientation, age, career levels, financial status, style and opinions); refrains from behaviour or language that is exclusionary or offensive in nature; treats all people fairly and consistently; effectively works with people from diverse backgrounds by treating them with dignity and respect.</v>
      </c>
      <c r="D26" s="38"/>
      <c r="E26" s="38"/>
      <c r="F26" s="38"/>
      <c r="G26" s="38"/>
      <c r="H26" s="38"/>
      <c r="I26" s="38"/>
      <c r="J26" s="40"/>
      <c r="K26" s="176"/>
      <c r="L26" s="41"/>
    </row>
    <row r="27" spans="1:12" s="11" customFormat="1" ht="20.149999999999999" customHeight="1" thickTop="1" thickBot="1" x14ac:dyDescent="0.35">
      <c r="A27" s="176"/>
      <c r="B27" s="16" t="s">
        <v>50</v>
      </c>
      <c r="C27" s="35" t="str">
        <f>'Competency Lookup'!B15</f>
        <v>Self Awareness:</v>
      </c>
      <c r="D27" s="36">
        <f>IF(C27="","",1)</f>
        <v>1</v>
      </c>
      <c r="E27" s="36">
        <f>IF(I27='Factor Lookup'!$A$43,"",VLOOKUP(I27,'Factor Lookup'!$A$43:$B$47,2,))</f>
        <v>2</v>
      </c>
      <c r="F27" s="23"/>
      <c r="G27" s="23"/>
      <c r="H27" s="37"/>
      <c r="I27" s="288" t="s">
        <v>132</v>
      </c>
      <c r="J27" s="289"/>
      <c r="K27" s="176"/>
      <c r="L27" s="187" t="str">
        <f>IF(I27="Requires Attention","Detail Corrective Action Below","")</f>
        <v/>
      </c>
    </row>
    <row r="28" spans="1:12" ht="95.15" customHeight="1" thickTop="1" thickBot="1" x14ac:dyDescent="0.4">
      <c r="A28" s="176"/>
      <c r="B28" s="38"/>
      <c r="C28" s="39" t="str">
        <f>'Competency Lookup'!C16</f>
        <v>Thinks carefully about the likely effect on others of one's words, actions, appearance and mode of behaviour; maintains stable performance and emotional control when faced with opposition, pressure, hostility from others and/or stressful conditions; demonstrates appropriate behaviour at all times; earns the respect of others; stays calm in the face of another's anger or lack of control, or when faced with complaints.</v>
      </c>
      <c r="D28" s="38"/>
      <c r="E28" s="38"/>
      <c r="F28" s="38"/>
      <c r="G28" s="38"/>
      <c r="H28" s="38"/>
      <c r="I28" s="38"/>
      <c r="J28" s="40"/>
      <c r="K28" s="176"/>
      <c r="L28" s="41"/>
    </row>
    <row r="29" spans="1:12" s="19" customFormat="1" ht="15" customHeight="1" thickTop="1" thickBot="1" x14ac:dyDescent="0.4">
      <c r="A29" s="176"/>
      <c r="B29" s="24"/>
      <c r="C29" s="24"/>
      <c r="D29" s="42" t="s">
        <v>66</v>
      </c>
      <c r="E29" s="42" t="s">
        <v>67</v>
      </c>
      <c r="F29" s="42" t="s">
        <v>68</v>
      </c>
      <c r="G29" s="43"/>
      <c r="H29" s="43"/>
      <c r="I29" s="24"/>
      <c r="J29" s="44"/>
      <c r="K29" s="176"/>
    </row>
    <row r="30" spans="1:12" s="19" customFormat="1" ht="24.75" customHeight="1" thickTop="1" thickBot="1" x14ac:dyDescent="0.4">
      <c r="A30" s="176"/>
      <c r="B30" s="213" t="s">
        <v>69</v>
      </c>
      <c r="C30" s="214"/>
      <c r="D30" s="215">
        <f>COUNT(D19:D29)</f>
        <v>5</v>
      </c>
      <c r="E30" s="215">
        <f>COUNT(E19:E29)</f>
        <v>5</v>
      </c>
      <c r="F30" s="216">
        <f>IF(COUNT(E19:E29)=0,0,SUM(E19:E29)/COUNT(E19:E29))</f>
        <v>2</v>
      </c>
      <c r="G30" s="215"/>
      <c r="H30" s="215"/>
      <c r="I30" s="290" t="str">
        <f>IF(F30=0,"Not Rated",IF(D30&lt;&gt;E30,"Rating Incomplete",IF(F30&lt;'Factor Lookup'!$A$53,'Factor Lookup'!$C$52,IF(AND(F30&gt;'Factor Lookup'!$B$52,F30&lt;'Factor Lookup'!$A$54),'Factor Lookup'!$C$53,'Factor Lookup'!$C$54))))</f>
        <v>Meets Expectation</v>
      </c>
      <c r="J30" s="290"/>
      <c r="K30" s="176"/>
    </row>
    <row r="31" spans="1:12" s="45" customFormat="1" ht="10" customHeight="1" thickTop="1" thickBot="1" x14ac:dyDescent="0.4">
      <c r="A31" s="176"/>
      <c r="B31" s="31"/>
      <c r="C31" s="31"/>
      <c r="D31" s="31"/>
      <c r="E31" s="31"/>
      <c r="F31" s="31"/>
      <c r="G31" s="31"/>
      <c r="H31" s="31"/>
      <c r="I31" s="31"/>
      <c r="J31" s="34"/>
      <c r="K31" s="176"/>
    </row>
    <row r="32" spans="1:12" s="2" customFormat="1" ht="20.149999999999999" customHeight="1" thickTop="1" thickBot="1" x14ac:dyDescent="0.4">
      <c r="A32" s="176"/>
      <c r="B32" s="12" t="s">
        <v>70</v>
      </c>
      <c r="C32" s="13"/>
      <c r="D32" s="13"/>
      <c r="E32" s="13"/>
      <c r="F32" s="13"/>
      <c r="G32" s="13"/>
      <c r="H32" s="13"/>
      <c r="I32" s="13"/>
      <c r="J32" s="14"/>
      <c r="K32" s="176"/>
    </row>
    <row r="33" spans="1:12" s="45" customFormat="1" ht="10" customHeight="1" thickTop="1" thickBot="1" x14ac:dyDescent="0.4">
      <c r="A33" s="176"/>
      <c r="B33" s="46"/>
      <c r="C33" s="46"/>
      <c r="D33" s="46"/>
      <c r="E33" s="46"/>
      <c r="F33" s="46"/>
      <c r="G33" s="46"/>
      <c r="H33" s="46"/>
      <c r="I33" s="46"/>
      <c r="J33" s="46"/>
      <c r="K33" s="176"/>
    </row>
    <row r="34" spans="1:12" s="11" customFormat="1" ht="20.149999999999999" customHeight="1" thickTop="1" thickBot="1" x14ac:dyDescent="0.35">
      <c r="A34" s="176"/>
      <c r="B34" s="16" t="s">
        <v>40</v>
      </c>
      <c r="C34" s="35" t="str">
        <f>IF(Setup!$B$4='Factor Lookup'!$A$7,'Competency Lookup'!E7,IF(Setup!$B$4='Factor Lookup'!$A$8,'Competency Lookup'!H7,IF(Setup!$B$4='Factor Lookup'!$A$9,'Competency Lookup'!K7,IF(Setup!$B$4='Factor Lookup'!$A$10,'Competency Lookup'!N7,""))))</f>
        <v>Achievement:</v>
      </c>
      <c r="D34" s="36">
        <f>IF(C34="","",1)</f>
        <v>1</v>
      </c>
      <c r="E34" s="36">
        <f>IF(I34='Factor Lookup'!$A$43,"",VLOOKUP(I34,'Factor Lookup'!$A$43:$B$47,2,))</f>
        <v>2.2999999999999998</v>
      </c>
      <c r="F34" s="23"/>
      <c r="G34" s="23"/>
      <c r="H34" s="37"/>
      <c r="I34" s="288" t="s">
        <v>134</v>
      </c>
      <c r="J34" s="289"/>
      <c r="K34" s="176"/>
      <c r="L34" s="187" t="str">
        <f>IF(I34="Requires Attention","Detail Corrective Action Below","")</f>
        <v/>
      </c>
    </row>
    <row r="35" spans="1:12" ht="95.15" customHeight="1" thickTop="1" thickBot="1" x14ac:dyDescent="0.4">
      <c r="A35" s="176"/>
      <c r="B35" s="38"/>
      <c r="C35" s="39" t="str">
        <f>IF(Setup!$B$4='Factor Lookup'!$A$7,'Competency Lookup'!F8,IF(Setup!$B$4='Factor Lookup'!$A$8,'Competency Lookup'!I8,IF(Setup!$B$4='Factor Lookup'!$A$9,'Competency Lookup'!L8,IF(Setup!$B$4='Factor Lookup'!$A$10,'Competency Lookup'!O8,""))))</f>
        <v>Works to goals and manages obstacles; understands and works toward goals set by others; measures progress against targets; seeks to understand reasons for obstacles and to find ways to overcome; acknowledges the work and contribution of others.</v>
      </c>
      <c r="D35" s="38"/>
      <c r="E35" s="38"/>
      <c r="F35" s="38"/>
      <c r="G35" s="38"/>
      <c r="H35" s="38"/>
      <c r="I35" s="38"/>
      <c r="J35" s="40"/>
      <c r="K35" s="176"/>
      <c r="L35" s="41"/>
    </row>
    <row r="36" spans="1:12" s="11" customFormat="1" ht="20.149999999999999" customHeight="1" thickTop="1" thickBot="1" x14ac:dyDescent="0.35">
      <c r="A36" s="176"/>
      <c r="B36" s="16" t="s">
        <v>47</v>
      </c>
      <c r="C36" s="35" t="str">
        <f>IF(Setup!$B$4='Factor Lookup'!$A$7,'Competency Lookup'!E9,IF(Setup!$B$4='Factor Lookup'!$A$8,'Competency Lookup'!H9,IF(Setup!$B$4='Factor Lookup'!$A$9,'Competency Lookup'!K9,IF(Setup!$B$4='Factor Lookup'!$A$10,'Competency Lookup'!N9,""))))</f>
        <v>Analytical Thinking:</v>
      </c>
      <c r="D36" s="36">
        <f>IF(C36="","",1)</f>
        <v>1</v>
      </c>
      <c r="E36" s="36">
        <f>IF(I36='Factor Lookup'!$A$43,"",VLOOKUP(I36,'Factor Lookup'!$A$43:$B$47,2,))</f>
        <v>2.75</v>
      </c>
      <c r="F36" s="23"/>
      <c r="G36" s="23"/>
      <c r="H36" s="37"/>
      <c r="I36" s="288" t="s">
        <v>136</v>
      </c>
      <c r="J36" s="289"/>
      <c r="K36" s="176"/>
      <c r="L36" s="187" t="str">
        <f>IF(I36="Requires Attention","Detail Corrective Action Below","")</f>
        <v/>
      </c>
    </row>
    <row r="37" spans="1:12" ht="95.15" customHeight="1" thickTop="1" thickBot="1" x14ac:dyDescent="0.4">
      <c r="A37" s="176"/>
      <c r="B37" s="38"/>
      <c r="C37" s="39" t="str">
        <f>IF(Setup!$B$4='Factor Lookup'!$A$7,'Competency Lookup'!F10,IF(Setup!$B$4='Factor Lookup'!$A$8,'Competency Lookup'!I10,IF(Setup!$B$4='Factor Lookup'!$A$9,'Competency Lookup'!L10,IF(Setup!$B$4='Factor Lookup'!$A$10,'Competency Lookup'!O10,""))))</f>
        <v xml:space="preserve">Sees key issues; looks at data and identifies key issues; identifies cause and effect by using "if A … the B" thinking, and using this to prioritise issues. </v>
      </c>
      <c r="D37" s="38"/>
      <c r="E37" s="38"/>
      <c r="F37" s="38"/>
      <c r="G37" s="38"/>
      <c r="H37" s="38"/>
      <c r="I37" s="38"/>
      <c r="J37" s="40"/>
      <c r="K37" s="176"/>
      <c r="L37" s="41"/>
    </row>
    <row r="38" spans="1:12" s="11" customFormat="1" ht="20.149999999999999" customHeight="1" thickTop="1" thickBot="1" x14ac:dyDescent="0.35">
      <c r="A38" s="176"/>
      <c r="B38" s="16" t="s">
        <v>48</v>
      </c>
      <c r="C38" s="35" t="str">
        <f>IF(Setup!$B$4='Factor Lookup'!$A$7,'Competency Lookup'!E11,IF(Setup!$B$4='Factor Lookup'!$A$8,'Competency Lookup'!H11,IF(Setup!$B$4='Factor Lookup'!$A$9,'Competency Lookup'!K11,IF(Setup!$B$4='Factor Lookup'!$A$10,'Competency Lookup'!N11,""))))</f>
        <v xml:space="preserve">Adaptability &amp; Flexibility: </v>
      </c>
      <c r="D38" s="36">
        <f>IF(C38="","",1)</f>
        <v>1</v>
      </c>
      <c r="E38" s="36">
        <f>IF(I38='Factor Lookup'!$A$43,"",VLOOKUP(I38,'Factor Lookup'!$A$43:$B$47,2,))</f>
        <v>2</v>
      </c>
      <c r="F38" s="23"/>
      <c r="G38" s="23"/>
      <c r="H38" s="37"/>
      <c r="I38" s="288" t="s">
        <v>132</v>
      </c>
      <c r="J38" s="289"/>
      <c r="K38" s="176"/>
      <c r="L38" s="187" t="str">
        <f>IF(I38="Requires Attention","Detail Corrective Action Below","")</f>
        <v/>
      </c>
    </row>
    <row r="39" spans="1:12" ht="95.15" customHeight="1" thickTop="1" thickBot="1" x14ac:dyDescent="0.4">
      <c r="A39" s="176"/>
      <c r="B39" s="38"/>
      <c r="C39" s="39" t="str">
        <f>IF(Setup!$B$4='Factor Lookup'!$A$7,'Competency Lookup'!F12,IF(Setup!$B$4='Factor Lookup'!$A$8,'Competency Lookup'!I12,IF(Setup!$B$4='Factor Lookup'!$A$9,'Competency Lookup'!L12,IF(Setup!$B$4='Factor Lookup'!$A$10,'Competency Lookup'!O12,""))))</f>
        <v>Applies rules or procedures flexibly, depending on the individual situation, to accomplish tasks and activities more effectively; responds effectively to changing circumstances; remains focused when faced with competing demands; makes reasonable adjustments to ensure maximum effectiveness and motivation of self and others.</v>
      </c>
      <c r="D39" s="38"/>
      <c r="E39" s="38"/>
      <c r="F39" s="38"/>
      <c r="G39" s="38"/>
      <c r="H39" s="38"/>
      <c r="I39" s="38"/>
      <c r="J39" s="40"/>
      <c r="K39" s="176"/>
      <c r="L39" s="41"/>
    </row>
    <row r="40" spans="1:12" s="11" customFormat="1" ht="20.149999999999999" customHeight="1" thickTop="1" thickBot="1" x14ac:dyDescent="0.35">
      <c r="A40" s="176"/>
      <c r="B40" s="16" t="s">
        <v>49</v>
      </c>
      <c r="C40" s="35" t="str">
        <f>IF(Setup!$B$4='Factor Lookup'!$A$7,'Competency Lookup'!E13,IF(Setup!$B$4='Factor Lookup'!$A$8,'Competency Lookup'!H13,IF(Setup!$B$4='Factor Lookup'!$A$9,'Competency Lookup'!K13,IF(Setup!$B$4='Factor Lookup'!$A$10,'Competency Lookup'!N13,""))))</f>
        <v xml:space="preserve">Initiative: </v>
      </c>
      <c r="D40" s="36">
        <f>IF(C40="","",1)</f>
        <v>1</v>
      </c>
      <c r="E40" s="36">
        <f>IF(I40='Factor Lookup'!$A$43,"",VLOOKUP(I40,'Factor Lookup'!$A$43:$B$47,2,))</f>
        <v>2.2999999999999998</v>
      </c>
      <c r="F40" s="23"/>
      <c r="G40" s="23"/>
      <c r="H40" s="37"/>
      <c r="I40" s="288" t="s">
        <v>134</v>
      </c>
      <c r="J40" s="289"/>
      <c r="K40" s="176"/>
      <c r="L40" s="187" t="str">
        <f>IF(I40="Requires Attention","Detail Corrective Action Below","")</f>
        <v/>
      </c>
    </row>
    <row r="41" spans="1:12" ht="95.15" customHeight="1" thickTop="1" thickBot="1" x14ac:dyDescent="0.4">
      <c r="A41" s="176"/>
      <c r="B41" s="38"/>
      <c r="C41" s="39" t="str">
        <f>IF(Setup!$B$4='Factor Lookup'!$A$7,'Competency Lookup'!F14,IF(Setup!$B$4='Factor Lookup'!$A$8,'Competency Lookup'!I14,IF(Setup!$B$4='Factor Lookup'!$A$9,'Competency Lookup'!L14,IF(Setup!$B$4='Factor Lookup'!$A$10,'Competency Lookup'!O14,""))))</f>
        <v>Acts and looks ahead, and adapts existing approach in response; identifies what needs to be done and takes action to achieve standards of excellence beyond job expectations; does things that no one has requested that will improve or enhance products and services or avoid problems;  Plans ahead for upcoming problems or opportunities and takes appropriate action.</v>
      </c>
      <c r="D41" s="38"/>
      <c r="E41" s="38"/>
      <c r="F41" s="38"/>
      <c r="G41" s="38"/>
      <c r="H41" s="38"/>
      <c r="I41" s="38"/>
      <c r="J41" s="40"/>
      <c r="K41" s="176"/>
      <c r="L41" s="41"/>
    </row>
    <row r="42" spans="1:12" s="11" customFormat="1" ht="20.149999999999999" customHeight="1" thickTop="1" thickBot="1" x14ac:dyDescent="0.35">
      <c r="A42" s="176"/>
      <c r="B42" s="16" t="s">
        <v>50</v>
      </c>
      <c r="C42" s="35" t="str">
        <f>IF(Setup!$B$4='Factor Lookup'!$A$7,'Competency Lookup'!E15,IF(Setup!$B$4='Factor Lookup'!$A$8,'Competency Lookup'!H15,IF(Setup!$B$4='Factor Lookup'!$A$9,'Competency Lookup'!K15,IF(Setup!$B$4='Factor Lookup'!$A$10,'Competency Lookup'!N15,""))))</f>
        <v>Holding People Accountable:</v>
      </c>
      <c r="D42" s="36">
        <f>IF(C42="","",1)</f>
        <v>1</v>
      </c>
      <c r="E42" s="36">
        <f>IF(I42='Factor Lookup'!$A$43,"",VLOOKUP(I42,'Factor Lookup'!$A$43:$B$47,2,))</f>
        <v>2</v>
      </c>
      <c r="F42" s="23"/>
      <c r="G42" s="23"/>
      <c r="H42" s="37"/>
      <c r="I42" s="288" t="s">
        <v>132</v>
      </c>
      <c r="J42" s="289"/>
      <c r="K42" s="176"/>
      <c r="L42" s="187" t="str">
        <f>IF(I42="Requires Attention","Detail Corrective Action Below","")</f>
        <v/>
      </c>
    </row>
    <row r="43" spans="1:12" ht="95.15" customHeight="1" thickTop="1" thickBot="1" x14ac:dyDescent="0.4">
      <c r="A43" s="176"/>
      <c r="B43" s="38"/>
      <c r="C43" s="39" t="str">
        <f>IF(Setup!$B$4='Factor Lookup'!$A$7,'Competency Lookup'!F16,IF(Setup!$B$4='Factor Lookup'!$A$8,'Competency Lookup'!I16,IF(Setup!$B$4='Factor Lookup'!$A$9,'Competency Lookup'!L16,IF(Setup!$B$4='Factor Lookup'!$A$10,'Competency Lookup'!O16,""))))</f>
        <v>Demands high performance or results from others by setting the example; monitors performance against clear standards or deadlines, providing clear feedback when required; helps others to start again when setbacks occur.</v>
      </c>
      <c r="D43" s="38"/>
      <c r="E43" s="38"/>
      <c r="F43" s="38"/>
      <c r="G43" s="38"/>
      <c r="H43" s="38"/>
      <c r="I43" s="38"/>
      <c r="J43" s="40"/>
      <c r="K43" s="176"/>
      <c r="L43" s="41"/>
    </row>
    <row r="44" spans="1:12" s="11" customFormat="1" ht="20.149999999999999" customHeight="1" thickTop="1" thickBot="1" x14ac:dyDescent="0.35">
      <c r="A44" s="176"/>
      <c r="B44" s="16" t="s">
        <v>51</v>
      </c>
      <c r="C44" s="35" t="str">
        <f>IF(Setup!$B$4='Factor Lookup'!$A$7,'Competency Lookup'!E17,IF(Setup!$B$4='Factor Lookup'!$A$8,'Competency Lookup'!H17,IF(Setup!$B$4='Factor Lookup'!$A$9,'Competency Lookup'!K17,IF(Setup!$B$4='Factor Lookup'!$A$10,'Competency Lookup'!N17,""))))</f>
        <v>Leading and Developing Others:</v>
      </c>
      <c r="D44" s="36">
        <f>IF(C44="","",1)</f>
        <v>1</v>
      </c>
      <c r="E44" s="36">
        <f>IF(I44='Factor Lookup'!$A$43,"",VLOOKUP(I44,'Factor Lookup'!$A$43:$B$47,2,))</f>
        <v>2.2999999999999998</v>
      </c>
      <c r="F44" s="23"/>
      <c r="G44" s="23"/>
      <c r="H44" s="37"/>
      <c r="I44" s="288" t="s">
        <v>134</v>
      </c>
      <c r="J44" s="289"/>
      <c r="K44" s="176"/>
      <c r="L44" s="187" t="str">
        <f>IF(I44="Requires Attention","Detail Corrective Action Below","")</f>
        <v/>
      </c>
    </row>
    <row r="45" spans="1:12" ht="95.15" customHeight="1" thickTop="1" thickBot="1" x14ac:dyDescent="0.4">
      <c r="A45" s="176"/>
      <c r="B45" s="38"/>
      <c r="C45" s="39" t="str">
        <f>IF(Setup!$B$4='Factor Lookup'!$A$7,'Competency Lookup'!F18,IF(Setup!$B$4='Factor Lookup'!$A$8,'Competency Lookup'!I18,IF(Setup!$B$4='Factor Lookup'!$A$9,'Competency Lookup'!L18,IF(Setup!$B$4='Factor Lookup'!$A$10,'Competency Lookup'!O18,""))))</f>
        <v>Supports team development; sets a strong example to colleagues and the team through one's own behaviour; is a role model.</v>
      </c>
      <c r="D45" s="38"/>
      <c r="E45" s="38"/>
      <c r="F45" s="38"/>
      <c r="G45" s="38"/>
      <c r="H45" s="38"/>
      <c r="I45" s="38"/>
      <c r="J45" s="40"/>
      <c r="K45" s="176"/>
      <c r="L45" s="41"/>
    </row>
    <row r="46" spans="1:12" s="11" customFormat="1" ht="20.149999999999999" customHeight="1" thickTop="1" thickBot="1" x14ac:dyDescent="0.35">
      <c r="A46" s="176"/>
      <c r="B46" s="16" t="s">
        <v>52</v>
      </c>
      <c r="C46" s="35" t="str">
        <f>IF(Setup!$B$4='Factor Lookup'!$A$7,'Competency Lookup'!E19,IF(Setup!$B$4='Factor Lookup'!$A$8,'Competency Lookup'!H19,IF(Setup!$B$4='Factor Lookup'!$A$9,'Competency Lookup'!K19,IF(Setup!$B$4='Factor Lookup'!$A$10,'Competency Lookup'!N19,""))))</f>
        <v>Professional Confidence:</v>
      </c>
      <c r="D46" s="36">
        <f>IF(C46="","",1)</f>
        <v>1</v>
      </c>
      <c r="E46" s="36">
        <f>IF(I46='Factor Lookup'!$A$43,"",VLOOKUP(I46,'Factor Lookup'!$A$43:$B$47,2,))</f>
        <v>2.2999999999999998</v>
      </c>
      <c r="F46" s="23"/>
      <c r="G46" s="23"/>
      <c r="H46" s="37"/>
      <c r="I46" s="288" t="s">
        <v>134</v>
      </c>
      <c r="J46" s="289"/>
      <c r="K46" s="176"/>
      <c r="L46" s="187" t="str">
        <f>IF(I46="Requires Attention","Detail Corrective Action Below","")</f>
        <v/>
      </c>
    </row>
    <row r="47" spans="1:12" ht="95.15" customHeight="1" thickTop="1" thickBot="1" x14ac:dyDescent="0.4">
      <c r="A47" s="176"/>
      <c r="B47" s="38"/>
      <c r="C47" s="39" t="str">
        <f>IF(Setup!$B$4='Factor Lookup'!$A$7,'Competency Lookup'!F20,IF(Setup!$B$4='Factor Lookup'!$A$8,'Competency Lookup'!I20,IF(Setup!$B$4='Factor Lookup'!$A$9,'Competency Lookup'!L20,IF(Setup!$B$4='Factor Lookup'!$A$10,'Competency Lookup'!O20,""))))</f>
        <v>Acts independently; provides an opinion from his / her own area of expertise; makes decisions without deferring unnecessarily to others; is decisive when the situation demands; has the confidence to admit when they do not know or cannot commit to an immediate view without more research.</v>
      </c>
      <c r="D47" s="38"/>
      <c r="E47" s="38"/>
      <c r="F47" s="38"/>
      <c r="G47" s="38"/>
      <c r="H47" s="38"/>
      <c r="I47" s="38"/>
      <c r="J47" s="40"/>
      <c r="K47" s="176"/>
      <c r="L47" s="41"/>
    </row>
    <row r="48" spans="1:12" s="11" customFormat="1" ht="20.149999999999999" customHeight="1" thickTop="1" thickBot="1" x14ac:dyDescent="0.35">
      <c r="A48" s="176"/>
      <c r="B48" s="16" t="s">
        <v>53</v>
      </c>
      <c r="C48" s="35" t="str">
        <f>IF(Setup!$B$4='Factor Lookup'!$A$7,'Competency Lookup'!E21,IF(Setup!$B$4='Factor Lookup'!$A$8,'Competency Lookup'!H21,IF(Setup!$B$4='Factor Lookup'!$A$9,'Competency Lookup'!K21,IF(Setup!$B$4='Factor Lookup'!$A$10,'Competency Lookup'!N21,""))))</f>
        <v>Relationship Building for Influence:</v>
      </c>
      <c r="D48" s="36">
        <f>IF(C48="","",1)</f>
        <v>1</v>
      </c>
      <c r="E48" s="36">
        <f>IF(I48='Factor Lookup'!$A$43,"",VLOOKUP(I48,'Factor Lookup'!$A$43:$B$47,2,))</f>
        <v>2</v>
      </c>
      <c r="F48" s="23"/>
      <c r="G48" s="23"/>
      <c r="H48" s="37"/>
      <c r="I48" s="288" t="s">
        <v>132</v>
      </c>
      <c r="J48" s="289"/>
      <c r="K48" s="176"/>
      <c r="L48" s="187" t="str">
        <f>IF(I48="Requires Attention","Detail Corrective Action Below","")</f>
        <v/>
      </c>
    </row>
    <row r="49" spans="1:12" ht="95.15" customHeight="1" thickTop="1" thickBot="1" x14ac:dyDescent="0.4">
      <c r="A49" s="176"/>
      <c r="B49" s="38"/>
      <c r="C49" s="39" t="str">
        <f>IF(Setup!$B$4='Factor Lookup'!$A$7,'Competency Lookup'!F22,IF(Setup!$B$4='Factor Lookup'!$A$8,'Competency Lookup'!I22,IF(Setup!$B$4='Factor Lookup'!$A$9,'Competency Lookup'!L22,IF(Setup!$B$4='Factor Lookup'!$A$10,'Competency Lookup'!O22,""))))</f>
        <v>Builds rapport and takes steps to persuade; identifies key influencers and decision makers; builds positive and reciprocal relations which benefit the organisation; tailors his / her approach to appeal to the need of a particular audience; uses informed rational arguments to influence others; is and active listener who is curious and interested in what is being said.</v>
      </c>
      <c r="D49" s="38"/>
      <c r="E49" s="38"/>
      <c r="F49" s="38"/>
      <c r="G49" s="38"/>
      <c r="H49" s="38"/>
      <c r="I49" s="38"/>
      <c r="J49" s="40"/>
      <c r="K49" s="176"/>
      <c r="L49" s="41"/>
    </row>
    <row r="50" spans="1:12" s="11" customFormat="1" ht="20.149999999999999" customHeight="1" thickTop="1" thickBot="1" x14ac:dyDescent="0.35">
      <c r="A50" s="176"/>
      <c r="B50" s="16" t="s">
        <v>54</v>
      </c>
      <c r="C50" s="35" t="str">
        <f>IF(Setup!$B$4='Factor Lookup'!$A$7,'Competency Lookup'!E23,IF(Setup!$B$4='Factor Lookup'!$A$8,'Competency Lookup'!H23,IF(Setup!$B$4='Factor Lookup'!$A$9,'Competency Lookup'!K23,IF(Setup!$B$4='Factor Lookup'!$A$10,'Competency Lookup'!N23,""))))</f>
        <v>Teamworking:</v>
      </c>
      <c r="D50" s="36">
        <f>IF(C50="","",1)</f>
        <v>1</v>
      </c>
      <c r="E50" s="36">
        <f>IF(I50='Factor Lookup'!$A$43,"",VLOOKUP(I50,'Factor Lookup'!$A$43:$B$47,2,))</f>
        <v>2</v>
      </c>
      <c r="F50" s="23"/>
      <c r="G50" s="23"/>
      <c r="H50" s="37"/>
      <c r="I50" s="288" t="s">
        <v>132</v>
      </c>
      <c r="J50" s="289"/>
      <c r="K50" s="176"/>
      <c r="L50" s="187" t="str">
        <f>IF(I50="Requires Attention","Detail Corrective Action Below","")</f>
        <v/>
      </c>
    </row>
    <row r="51" spans="1:12" ht="95.15" customHeight="1" thickTop="1" thickBot="1" x14ac:dyDescent="0.4">
      <c r="A51" s="176"/>
      <c r="B51" s="38"/>
      <c r="C51" s="39" t="str">
        <f>IF(Setup!$B$4='Factor Lookup'!$A$7,'Competency Lookup'!F24,IF(Setup!$B$4='Factor Lookup'!$A$8,'Competency Lookup'!I24,IF(Setup!$B$4='Factor Lookup'!$A$9,'Competency Lookup'!L24,IF(Setup!$B$4='Factor Lookup'!$A$10,'Competency Lookup'!O24,""))))</f>
        <v>Involves others; actively includes individuals from diverse backgrounds in team activities; capitalises on diverse skills and ideas; spends time helping others think through issues; speaks positively of others; works cooperatively with other team members, involves others, shares information as appropriate and shares credit for team accomplishments.</v>
      </c>
      <c r="D51" s="38"/>
      <c r="E51" s="38"/>
      <c r="F51" s="38"/>
      <c r="G51" s="38"/>
      <c r="H51" s="38"/>
      <c r="I51" s="38"/>
      <c r="J51" s="40"/>
      <c r="K51" s="176"/>
      <c r="L51" s="41"/>
    </row>
    <row r="52" spans="1:12" s="11" customFormat="1" ht="20.149999999999999" customHeight="1" thickTop="1" thickBot="1" x14ac:dyDescent="0.35">
      <c r="A52" s="176"/>
      <c r="B52" s="16" t="s">
        <v>55</v>
      </c>
      <c r="C52" s="35" t="str">
        <f>IF(Setup!$B$4='Factor Lookup'!$A$7,'Competency Lookup'!E25,IF(Setup!$B$4='Factor Lookup'!$A$8,'Competency Lookup'!H25,IF(Setup!$B$4='Factor Lookup'!$A$9,'Competency Lookup'!K25,IF(Setup!$B$4='Factor Lookup'!$A$10,'Competency Lookup'!N25,""))))</f>
        <v>Working Strategically:</v>
      </c>
      <c r="D52" s="36">
        <f>IF(C52="","",1)</f>
        <v>1</v>
      </c>
      <c r="E52" s="36">
        <f>IF(I52='Factor Lookup'!$A$43,"",VLOOKUP(I52,'Factor Lookup'!$A$43:$B$47,2,))</f>
        <v>2.2999999999999998</v>
      </c>
      <c r="F52" s="23"/>
      <c r="G52" s="23"/>
      <c r="H52" s="37"/>
      <c r="I52" s="288" t="s">
        <v>134</v>
      </c>
      <c r="J52" s="289"/>
      <c r="K52" s="176"/>
      <c r="L52" s="187" t="str">
        <f>IF(I52="Requires Attention","Detail Corrective Action Below","")</f>
        <v/>
      </c>
    </row>
    <row r="53" spans="1:12" ht="95.15" customHeight="1" thickTop="1" thickBot="1" x14ac:dyDescent="0.4">
      <c r="A53" s="176"/>
      <c r="B53" s="38"/>
      <c r="C53" s="39" t="str">
        <f>IF(Setup!$B$4='Factor Lookup'!$A$7,'Competency Lookup'!F26,IF(Setup!$B$4='Factor Lookup'!$A$8,'Competency Lookup'!I26,IF(Setup!$B$4='Factor Lookup'!$A$9,'Competency Lookup'!L26,IF(Setup!$B$4='Factor Lookup'!$A$10,'Competency Lookup'!O26,""))))</f>
        <v>Links current action to strategy; understands the link between own work and the strategic objectives; uses own knowledge or experience of past situations, adapts and applies this to current issues; supports organisation objectives even when disadvantageous to own department or sphere.</v>
      </c>
      <c r="D53" s="38"/>
      <c r="E53" s="38"/>
      <c r="F53" s="38"/>
      <c r="G53" s="38"/>
      <c r="H53" s="38"/>
      <c r="I53" s="38"/>
      <c r="J53" s="40"/>
      <c r="K53" s="176"/>
      <c r="L53" s="41"/>
    </row>
    <row r="54" spans="1:12" s="19" customFormat="1" ht="15" customHeight="1" thickTop="1" thickBot="1" x14ac:dyDescent="0.4">
      <c r="A54" s="176"/>
      <c r="B54" s="24"/>
      <c r="C54" s="24"/>
      <c r="D54" s="42" t="s">
        <v>66</v>
      </c>
      <c r="E54" s="42" t="s">
        <v>67</v>
      </c>
      <c r="F54" s="42" t="s">
        <v>68</v>
      </c>
      <c r="G54" s="43"/>
      <c r="H54" s="43"/>
      <c r="I54" s="24"/>
      <c r="J54" s="44"/>
      <c r="K54" s="176"/>
    </row>
    <row r="55" spans="1:12" s="47" customFormat="1" ht="25" customHeight="1" thickTop="1" thickBot="1" x14ac:dyDescent="0.4">
      <c r="A55" s="176"/>
      <c r="B55" s="213" t="s">
        <v>71</v>
      </c>
      <c r="C55" s="217"/>
      <c r="D55" s="218">
        <f>COUNT(D34:D54)</f>
        <v>10</v>
      </c>
      <c r="E55" s="218">
        <f>COUNT(E34:E54)</f>
        <v>10</v>
      </c>
      <c r="F55" s="219">
        <f>IF(COUNT(E34:E54)=0,0,SUM(E34:E54)/COUNT(E34:E54))</f>
        <v>2.2250000000000001</v>
      </c>
      <c r="G55" s="218"/>
      <c r="H55" s="218"/>
      <c r="I55" s="290" t="str">
        <f>IF(F55=0,"Not Rated",IF(D55&lt;&gt;E55,"Rating Incomplete",IF(F55&lt;'Factor Lookup'!$A$53,'Factor Lookup'!$C$52,IF(AND(F55&gt;'Factor Lookup'!$B$52,F55&lt;'Factor Lookup'!$A$54),'Factor Lookup'!$C$53,'Factor Lookup'!$C$54))))</f>
        <v>Exceeds Expectation</v>
      </c>
      <c r="J55" s="290"/>
      <c r="K55" s="176"/>
    </row>
    <row r="56" spans="1:12" ht="25" customHeight="1" thickTop="1" x14ac:dyDescent="0.35">
      <c r="A56" s="176"/>
      <c r="K56" s="176"/>
    </row>
    <row r="57" spans="1:12" ht="10" customHeight="1" x14ac:dyDescent="0.35">
      <c r="A57" s="176"/>
      <c r="B57" s="178"/>
      <c r="C57" s="178"/>
      <c r="D57" s="178"/>
      <c r="E57" s="178"/>
      <c r="F57" s="178"/>
      <c r="G57" s="178"/>
      <c r="H57" s="178"/>
      <c r="I57" s="178"/>
      <c r="J57" s="178"/>
      <c r="K57" s="176"/>
    </row>
  </sheetData>
  <sheetProtection algorithmName="SHA-512" hashValue="sLfFYUjdWmEeZVEXv9kJtogc1TC0r7rsrJ0XJMceDCv/HkzoVBiCX9e2zYBqyNKHMS3GSvCHBT/7swqM6Xzc/g==" saltValue="nDRCSTg9kTaDnLUAPUkhjg==" spinCount="100000" sheet="1" objects="1" scenarios="1" formatCells="0" selectLockedCells="1"/>
  <mergeCells count="22">
    <mergeCell ref="I36:J36"/>
    <mergeCell ref="I23:J23"/>
    <mergeCell ref="I27:J27"/>
    <mergeCell ref="I34:J34"/>
    <mergeCell ref="I38:J38"/>
    <mergeCell ref="I25:J25"/>
    <mergeCell ref="L5:L6"/>
    <mergeCell ref="I44:J44"/>
    <mergeCell ref="I55:J55"/>
    <mergeCell ref="I46:J46"/>
    <mergeCell ref="I50:J50"/>
    <mergeCell ref="I48:J48"/>
    <mergeCell ref="I52:J52"/>
    <mergeCell ref="I42:J42"/>
    <mergeCell ref="B11:J11"/>
    <mergeCell ref="B12:J12"/>
    <mergeCell ref="B13:J13"/>
    <mergeCell ref="B14:J14"/>
    <mergeCell ref="I40:J40"/>
    <mergeCell ref="I19:J19"/>
    <mergeCell ref="I21:J21"/>
    <mergeCell ref="I30:J30"/>
  </mergeCells>
  <conditionalFormatting sqref="L20">
    <cfRule type="expression" dxfId="535" priority="51">
      <formula>I19="Requires Attention"</formula>
    </cfRule>
  </conditionalFormatting>
  <conditionalFormatting sqref="I30:J30">
    <cfRule type="cellIs" dxfId="534" priority="36" operator="equal">
      <formula>"Rating Incomplete"</formula>
    </cfRule>
  </conditionalFormatting>
  <conditionalFormatting sqref="I55:J55">
    <cfRule type="cellIs" dxfId="533" priority="35" operator="equal">
      <formula>"Rating Incomplete"</formula>
    </cfRule>
  </conditionalFormatting>
  <conditionalFormatting sqref="A11:A24">
    <cfRule type="cellIs" dxfId="532" priority="34" operator="equal">
      <formula>"Active"</formula>
    </cfRule>
  </conditionalFormatting>
  <conditionalFormatting sqref="A25:A38">
    <cfRule type="cellIs" dxfId="531" priority="33" operator="equal">
      <formula>"Active"</formula>
    </cfRule>
  </conditionalFormatting>
  <conditionalFormatting sqref="A39:A52">
    <cfRule type="cellIs" dxfId="530" priority="32" operator="equal">
      <formula>"Active"</formula>
    </cfRule>
  </conditionalFormatting>
  <conditionalFormatting sqref="A53:A57">
    <cfRule type="cellIs" dxfId="529" priority="31" operator="equal">
      <formula>"Active"</formula>
    </cfRule>
  </conditionalFormatting>
  <conditionalFormatting sqref="K11:K24">
    <cfRule type="cellIs" dxfId="528" priority="24" operator="equal">
      <formula>"Active"</formula>
    </cfRule>
  </conditionalFormatting>
  <conditionalFormatting sqref="K25:K38">
    <cfRule type="cellIs" dxfId="527" priority="23" operator="equal">
      <formula>"Active"</formula>
    </cfRule>
  </conditionalFormatting>
  <conditionalFormatting sqref="K39:K52">
    <cfRule type="cellIs" dxfId="526" priority="22" operator="equal">
      <formula>"Active"</formula>
    </cfRule>
  </conditionalFormatting>
  <conditionalFormatting sqref="K53:K57">
    <cfRule type="cellIs" dxfId="525" priority="21" operator="equal">
      <formula>"Active"</formula>
    </cfRule>
  </conditionalFormatting>
  <conditionalFormatting sqref="L22">
    <cfRule type="expression" dxfId="524" priority="14">
      <formula>I21="Requires Attention"</formula>
    </cfRule>
  </conditionalFormatting>
  <conditionalFormatting sqref="L24">
    <cfRule type="expression" dxfId="523" priority="13">
      <formula>I23="Requires Attention"</formula>
    </cfRule>
  </conditionalFormatting>
  <conditionalFormatting sqref="L26">
    <cfRule type="expression" dxfId="522" priority="12">
      <formula>I25="Requires Attention"</formula>
    </cfRule>
  </conditionalFormatting>
  <conditionalFormatting sqref="L28">
    <cfRule type="expression" dxfId="521" priority="11">
      <formula>I27="Requires Attention"</formula>
    </cfRule>
  </conditionalFormatting>
  <conditionalFormatting sqref="L35">
    <cfRule type="expression" dxfId="520" priority="10">
      <formula>I34="Requires Attention"</formula>
    </cfRule>
  </conditionalFormatting>
  <conditionalFormatting sqref="L37">
    <cfRule type="expression" dxfId="519" priority="9">
      <formula>I36="Requires Attention"</formula>
    </cfRule>
  </conditionalFormatting>
  <conditionalFormatting sqref="L39">
    <cfRule type="expression" dxfId="518" priority="8">
      <formula>I38="Requires Attention"</formula>
    </cfRule>
  </conditionalFormatting>
  <conditionalFormatting sqref="L41">
    <cfRule type="expression" dxfId="517" priority="7">
      <formula>I40="Requires Attention"</formula>
    </cfRule>
  </conditionalFormatting>
  <conditionalFormatting sqref="L43">
    <cfRule type="expression" dxfId="516" priority="6">
      <formula>I42="Requires Attention"</formula>
    </cfRule>
  </conditionalFormatting>
  <conditionalFormatting sqref="L45">
    <cfRule type="expression" dxfId="515" priority="5">
      <formula>I44="Requires Attention"</formula>
    </cfRule>
  </conditionalFormatting>
  <conditionalFormatting sqref="L47">
    <cfRule type="expression" dxfId="514" priority="4">
      <formula>I46="Requires Attention"</formula>
    </cfRule>
  </conditionalFormatting>
  <conditionalFormatting sqref="L49">
    <cfRule type="expression" dxfId="513" priority="3">
      <formula>I48="Requires Attention"</formula>
    </cfRule>
  </conditionalFormatting>
  <conditionalFormatting sqref="L51">
    <cfRule type="expression" dxfId="512" priority="2">
      <formula>I50="Requires Attention"</formula>
    </cfRule>
  </conditionalFormatting>
  <conditionalFormatting sqref="L53">
    <cfRule type="expression" dxfId="511" priority="1">
      <formula>I52="Requires Attention"</formula>
    </cfRule>
  </conditionalFormatting>
  <printOptions horizontalCentered="1"/>
  <pageMargins left="0.59055118110236227" right="0.59055118110236227" top="0.59055118110236227" bottom="0.59055118110236227" header="0.19685039370078741" footer="0.19685039370078741"/>
  <pageSetup paperSize="9" fitToHeight="0" orientation="portrait" r:id="rId1"/>
  <headerFooter>
    <oddFooter>&amp;C&amp;"-,Bold"&amp;8&amp;K04-023Page &amp;P of &amp;N&amp;R&amp;"-,Bold"&amp;9&amp;K04-024PART B</oddFooter>
  </headerFooter>
  <rowBreaks count="3" manualBreakCount="3">
    <brk id="16" max="16383" man="1"/>
    <brk id="31" max="16383" man="1"/>
    <brk id="43" max="16383" man="1"/>
  </rowBreaks>
  <drawing r:id="rId2"/>
  <legacyDrawing r:id="rId3"/>
  <controls>
    <mc:AlternateContent xmlns:mc="http://schemas.openxmlformats.org/markup-compatibility/2006">
      <mc:Choice Requires="x14">
        <control shapeId="11267" r:id="rId4" name="Competencies_Print">
          <controlPr autoLine="0" r:id="rId5">
            <anchor moveWithCells="1">
              <from>
                <xdr:col>11</xdr:col>
                <xdr:colOff>31750</xdr:colOff>
                <xdr:row>0</xdr:row>
                <xdr:rowOff>38100</xdr:rowOff>
              </from>
              <to>
                <xdr:col>11</xdr:col>
                <xdr:colOff>2698750</xdr:colOff>
                <xdr:row>1</xdr:row>
                <xdr:rowOff>222250</xdr:rowOff>
              </to>
            </anchor>
          </controlPr>
        </control>
      </mc:Choice>
      <mc:Fallback>
        <control shapeId="11267" r:id="rId4" name="Competencies_Prin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0000000}">
          <x14:formula1>
            <xm:f>'Factor Lookup'!$A$43:$A$47</xm:f>
          </x14:formula1>
          <xm:sqref>I34:J34 I36:J36 I38:J38 I40:J40 I42:J42 I44:J44 I46:J46 I48:J48 I50:J50 I52:J52</xm:sqref>
        </x14:dataValidation>
        <x14:dataValidation type="list" allowBlank="1" showInputMessage="1" showErrorMessage="1" xr:uid="{00000000-0002-0000-0200-000001000000}">
          <x14:formula1>
            <xm:f>'Factor Lookup'!$A$43:$A$45</xm:f>
          </x14:formula1>
          <xm:sqref>I19:J19 I21:J21 I23:J23 I25:J25 I27:J27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I222"/>
  <sheetViews>
    <sheetView zoomScale="130" zoomScaleNormal="130" workbookViewId="0">
      <pane xSplit="2" ySplit="6" topLeftCell="C58" activePane="bottomRight" state="frozen"/>
      <selection pane="topRight" activeCell="C1" sqref="C1"/>
      <selection pane="bottomLeft" activeCell="A7" sqref="A7"/>
      <selection pane="bottomRight" activeCell="C7" sqref="C7"/>
    </sheetView>
  </sheetViews>
  <sheetFormatPr defaultColWidth="37.54296875" defaultRowHeight="25" customHeight="1" x14ac:dyDescent="0.35"/>
  <cols>
    <col min="1" max="1" width="8.54296875" style="24" customWidth="1"/>
    <col min="2" max="2" width="1.54296875" style="24" customWidth="1"/>
    <col min="3" max="3" width="2.54296875" style="24" customWidth="1"/>
    <col min="4" max="4" width="51.54296875" style="24" customWidth="1"/>
    <col min="5" max="5" width="12.54296875" style="24" customWidth="1"/>
    <col min="6" max="6" width="22.54296875" style="24" customWidth="1"/>
    <col min="7" max="7" width="1.54296875" style="24" customWidth="1"/>
    <col min="8" max="16384" width="37.54296875" style="24"/>
  </cols>
  <sheetData>
    <row r="1" spans="1:7" ht="10" customHeight="1" thickTop="1" x14ac:dyDescent="0.35">
      <c r="A1" s="273" t="s">
        <v>23</v>
      </c>
      <c r="B1" s="175"/>
      <c r="C1" s="175"/>
      <c r="D1" s="175"/>
      <c r="E1" s="175"/>
      <c r="F1" s="175"/>
      <c r="G1" s="175"/>
    </row>
    <row r="2" spans="1:7" ht="20.149999999999999" customHeight="1" x14ac:dyDescent="0.35">
      <c r="A2" s="274"/>
      <c r="B2" s="174"/>
      <c r="C2" s="1" t="s">
        <v>0</v>
      </c>
      <c r="E2" s="3" t="s">
        <v>24</v>
      </c>
      <c r="F2" s="189">
        <f>Setup!B14</f>
        <v>45246</v>
      </c>
      <c r="G2" s="174"/>
    </row>
    <row r="3" spans="1:7" ht="20.149999999999999" customHeight="1" x14ac:dyDescent="0.35">
      <c r="A3" s="274"/>
      <c r="B3" s="174"/>
      <c r="C3" s="1" t="s">
        <v>72</v>
      </c>
      <c r="E3" s="3" t="s">
        <v>27</v>
      </c>
      <c r="F3" s="190" t="str">
        <f>Setup!B7</f>
        <v>Parker</v>
      </c>
      <c r="G3" s="174"/>
    </row>
    <row r="4" spans="1:7" ht="20.149999999999999" customHeight="1" x14ac:dyDescent="0.35">
      <c r="A4" s="274"/>
      <c r="B4" s="174"/>
      <c r="C4" s="188" t="str">
        <f>"Division / Syndicate -  "&amp;Setup!B6&amp;" | Department -  "&amp;Setup!B10</f>
        <v>Division / Syndicate -  Wits RHI | Department -  Climate and Health</v>
      </c>
      <c r="D4" s="167"/>
      <c r="E4" s="3" t="s">
        <v>28</v>
      </c>
      <c r="F4" s="191" t="str">
        <f>Setup!B8</f>
        <v>Craig</v>
      </c>
      <c r="G4" s="174"/>
    </row>
    <row r="5" spans="1:7" ht="20.149999999999999" customHeight="1" x14ac:dyDescent="0.35">
      <c r="A5" s="274"/>
      <c r="B5" s="174"/>
      <c r="C5" s="188" t="str">
        <f>"Employee Review Category -  "&amp;Setup!B4</f>
        <v>Employee Review Category -  Professional / Skilled</v>
      </c>
      <c r="D5" s="167"/>
      <c r="E5" s="3" t="s">
        <v>29</v>
      </c>
      <c r="F5" s="191" t="str">
        <f>Setup!B9</f>
        <v>B0158</v>
      </c>
      <c r="G5" s="174"/>
    </row>
    <row r="6" spans="1:7" ht="20.149999999999999" customHeight="1" thickBot="1" x14ac:dyDescent="0.4">
      <c r="A6" s="275"/>
      <c r="B6" s="174"/>
      <c r="C6" s="188" t="str">
        <f>"Review Type - "&amp;Setup!B15</f>
        <v>Review Type - FINAL</v>
      </c>
      <c r="D6" s="167"/>
      <c r="E6" s="3" t="s">
        <v>32</v>
      </c>
      <c r="F6" s="189">
        <f>Setup!B16</f>
        <v>45291</v>
      </c>
      <c r="G6" s="174"/>
    </row>
    <row r="7" spans="1:7" ht="5.15" customHeight="1" thickTop="1" thickBot="1" x14ac:dyDescent="0.4">
      <c r="B7" s="174"/>
      <c r="C7" s="200"/>
      <c r="E7" s="32"/>
      <c r="F7" s="33"/>
      <c r="G7" s="175"/>
    </row>
    <row r="8" spans="1:7" ht="25" customHeight="1" thickTop="1" thickBot="1" x14ac:dyDescent="0.4">
      <c r="B8" s="174"/>
      <c r="C8" s="12" t="s">
        <v>73</v>
      </c>
      <c r="D8" s="56"/>
      <c r="E8" s="56"/>
      <c r="F8" s="173"/>
      <c r="G8" s="175"/>
    </row>
    <row r="9" spans="1:7" ht="10" customHeight="1" thickTop="1" thickBot="1" x14ac:dyDescent="0.4">
      <c r="B9" s="174"/>
      <c r="C9" s="33"/>
      <c r="F9" s="44"/>
      <c r="G9" s="175"/>
    </row>
    <row r="10" spans="1:7" s="18" customFormat="1" ht="30" customHeight="1" thickTop="1" thickBot="1" x14ac:dyDescent="0.4">
      <c r="A10" s="169" t="str">
        <f>IF('A-KPA Review'!N26="YES","Print","-----")</f>
        <v>Print</v>
      </c>
      <c r="B10" s="174"/>
      <c r="C10" s="16" t="str">
        <f>'A-KPA Review'!C26</f>
        <v>A</v>
      </c>
      <c r="D10" s="48" t="str">
        <f>'A-KPA Review'!D26</f>
        <v xml:space="preserve">Data Science Management    </v>
      </c>
      <c r="E10" s="307" t="str">
        <f>IF(COUNTIF('A-KPA Review'!J26:J36,'Factor Lookup'!$A$44)&lt;&gt;0,"Development Plan - Performance Indicators Requiring Attention","")</f>
        <v/>
      </c>
      <c r="F10" s="308"/>
      <c r="G10" s="176"/>
    </row>
    <row r="11" spans="1:7" s="50" customFormat="1" ht="12.5" thickTop="1" x14ac:dyDescent="0.35">
      <c r="A11" s="169" t="str">
        <f>IF('A-KPA Review'!N27="YES","Print","-----")</f>
        <v>Print</v>
      </c>
      <c r="B11" s="174"/>
      <c r="C11" s="49">
        <f>'A-KPA Review'!C27</f>
        <v>1</v>
      </c>
      <c r="D11" s="264" t="str">
        <f>'A-KPA Review'!D27</f>
        <v>Manage/coordinate Climate and Health project data acquisition from Wits RHI perspective</v>
      </c>
      <c r="E11" s="309">
        <f>'A-KPA Review'!M27</f>
        <v>0</v>
      </c>
      <c r="F11" s="310"/>
      <c r="G11" s="176"/>
    </row>
    <row r="12" spans="1:7" s="50" customFormat="1" ht="25" customHeight="1" x14ac:dyDescent="0.35">
      <c r="A12" s="169" t="str">
        <f>IF('A-KPA Review'!N28="YES","Print","-----")</f>
        <v>Print</v>
      </c>
      <c r="B12" s="174"/>
      <c r="C12" s="51">
        <f>'A-KPA Review'!C28</f>
        <v>2</v>
      </c>
      <c r="D12" s="170" t="str">
        <f>'A-KPA Review'!D28</f>
        <v xml:space="preserve">In conjunction with the Scientific Lead and Hub programme manager, acquire data on health outcomes, and environmental exposures across Africa and prepare data for analysis. </v>
      </c>
      <c r="E12" s="303">
        <f>'A-KPA Review'!M28</f>
        <v>0</v>
      </c>
      <c r="F12" s="304"/>
      <c r="G12" s="176"/>
    </row>
    <row r="13" spans="1:7" s="50" customFormat="1" ht="25" customHeight="1" x14ac:dyDescent="0.35">
      <c r="A13" s="169" t="str">
        <f>IF('A-KPA Review'!N29="YES","Print","-----")</f>
        <v>Print</v>
      </c>
      <c r="B13" s="174"/>
      <c r="C13" s="51">
        <f>'A-KPA Review'!C29</f>
        <v>3</v>
      </c>
      <c r="D13" s="170" t="str">
        <f>'A-KPA Review'!D29</f>
        <v>Work with Heat Center and other relevant partners partners to process and clean the data</v>
      </c>
      <c r="E13" s="303">
        <f>'A-KPA Review'!M29</f>
        <v>0</v>
      </c>
      <c r="F13" s="304"/>
      <c r="G13" s="176"/>
    </row>
    <row r="14" spans="1:7" s="50" customFormat="1" ht="25" customHeight="1" x14ac:dyDescent="0.35">
      <c r="A14" s="169" t="str">
        <f>IF('A-KPA Review'!N30="YES","Print","-----")</f>
        <v>Print</v>
      </c>
      <c r="B14" s="174"/>
      <c r="C14" s="51">
        <f>'A-KPA Review'!C30</f>
        <v>4</v>
      </c>
      <c r="D14" s="170" t="str">
        <f>'A-KPA Review'!D30</f>
        <v>·        Work with WHC/Wits RHI IT to create processes to integrate and store data</v>
      </c>
      <c r="E14" s="303">
        <f>'A-KPA Review'!M30</f>
        <v>0</v>
      </c>
      <c r="F14" s="304"/>
      <c r="G14" s="176"/>
    </row>
    <row r="15" spans="1:7" s="50" customFormat="1" ht="25" customHeight="1" x14ac:dyDescent="0.35">
      <c r="A15" s="169" t="str">
        <f>IF('A-KPA Review'!N31="YES","Print","-----")</f>
        <v>Print</v>
      </c>
      <c r="B15" s="174"/>
      <c r="C15" s="51">
        <f>'A-KPA Review'!C31</f>
        <v>5</v>
      </c>
      <c r="D15" s="170" t="str">
        <f>'A-KPA Review'!D31</f>
        <v>·        Facilitate and collaborate on initial data investigation and exploratory data analysis</v>
      </c>
      <c r="E15" s="303">
        <f>'A-KPA Review'!M31</f>
        <v>0</v>
      </c>
      <c r="F15" s="304"/>
      <c r="G15" s="176"/>
    </row>
    <row r="16" spans="1:7" s="50" customFormat="1" ht="24" x14ac:dyDescent="0.35">
      <c r="A16" s="169" t="str">
        <f>IF('A-KPA Review'!N32="YES","Print","-----")</f>
        <v>Print</v>
      </c>
      <c r="B16" s="174"/>
      <c r="C16" s="51">
        <f>'A-KPA Review'!C32</f>
        <v>6</v>
      </c>
      <c r="D16" s="170" t="str">
        <f>'A-KPA Review'!D32</f>
        <v>·        Apply potential models and algorithms as to achieve aims of the research.</v>
      </c>
      <c r="E16" s="303">
        <f>'A-KPA Review'!M32</f>
        <v>0</v>
      </c>
      <c r="F16" s="304"/>
      <c r="G16" s="176"/>
    </row>
    <row r="17" spans="1:7" s="50" customFormat="1" ht="36" x14ac:dyDescent="0.35">
      <c r="A17" s="169" t="str">
        <f>IF('A-KPA Review'!N33="YES","Print","-----")</f>
        <v>Print</v>
      </c>
      <c r="B17" s="174"/>
      <c r="C17" s="51">
        <f>'A-KPA Review'!C33</f>
        <v>7</v>
      </c>
      <c r="D17" s="170" t="str">
        <f>'A-KPA Review'!D33</f>
        <v xml:space="preserve">·        Apply data science techniques, such as machine learning, statistical modeling, and artificial intelligence to health and climate data in line with aims of project. </v>
      </c>
      <c r="E17" s="303">
        <f>'A-KPA Review'!M33</f>
        <v>0</v>
      </c>
      <c r="F17" s="304"/>
      <c r="G17" s="176"/>
    </row>
    <row r="18" spans="1:7" s="50" customFormat="1" ht="25" customHeight="1" x14ac:dyDescent="0.35">
      <c r="A18" s="169" t="str">
        <f>IF('A-KPA Review'!N34="YES","Print","-----")</f>
        <v>-----</v>
      </c>
      <c r="B18" s="174"/>
      <c r="C18" s="51">
        <f>'A-KPA Review'!C34</f>
        <v>8</v>
      </c>
      <c r="D18" s="170">
        <f>'A-KPA Review'!D34</f>
        <v>0</v>
      </c>
      <c r="E18" s="303">
        <f>'A-KPA Review'!M34</f>
        <v>0</v>
      </c>
      <c r="F18" s="304"/>
      <c r="G18" s="176"/>
    </row>
    <row r="19" spans="1:7" s="50" customFormat="1" ht="25" customHeight="1" thickBot="1" x14ac:dyDescent="0.4">
      <c r="A19" s="169" t="str">
        <f>IF('A-KPA Review'!N35="YES","Print","-----")</f>
        <v>-----</v>
      </c>
      <c r="B19" s="174"/>
      <c r="C19" s="51">
        <f>'A-KPA Review'!C35</f>
        <v>9</v>
      </c>
      <c r="D19" s="170">
        <f>'A-KPA Review'!D35</f>
        <v>0</v>
      </c>
      <c r="E19" s="303">
        <f>'A-KPA Review'!M35</f>
        <v>0</v>
      </c>
      <c r="F19" s="304"/>
      <c r="G19" s="176"/>
    </row>
    <row r="20" spans="1:7" s="50" customFormat="1" ht="25" customHeight="1" thickTop="1" thickBot="1" x14ac:dyDescent="0.4">
      <c r="A20" s="194" t="s">
        <v>45</v>
      </c>
      <c r="B20" s="174"/>
      <c r="C20" s="51" t="s">
        <v>74</v>
      </c>
      <c r="D20" s="202"/>
      <c r="E20" s="299"/>
      <c r="F20" s="300"/>
      <c r="G20" s="176"/>
    </row>
    <row r="21" spans="1:7" s="50" customFormat="1" ht="25" customHeight="1" thickTop="1" thickBot="1" x14ac:dyDescent="0.4">
      <c r="A21" s="194" t="s">
        <v>45</v>
      </c>
      <c r="B21" s="174"/>
      <c r="C21" s="51" t="s">
        <v>74</v>
      </c>
      <c r="D21" s="202"/>
      <c r="E21" s="299"/>
      <c r="F21" s="300"/>
      <c r="G21" s="176"/>
    </row>
    <row r="22" spans="1:7" s="50" customFormat="1" ht="25" customHeight="1" thickTop="1" thickBot="1" x14ac:dyDescent="0.4">
      <c r="A22" s="194" t="s">
        <v>45</v>
      </c>
      <c r="B22" s="174"/>
      <c r="C22" s="51" t="s">
        <v>74</v>
      </c>
      <c r="D22" s="202"/>
      <c r="E22" s="299"/>
      <c r="F22" s="300"/>
      <c r="G22" s="176"/>
    </row>
    <row r="23" spans="1:7" s="2" customFormat="1" ht="12" customHeight="1" thickTop="1" thickBot="1" x14ac:dyDescent="0.4">
      <c r="A23" s="169" t="str">
        <f>A10</f>
        <v>Print</v>
      </c>
      <c r="B23" s="174"/>
      <c r="D23" s="52" t="s">
        <v>75</v>
      </c>
      <c r="F23" s="15"/>
      <c r="G23" s="176"/>
    </row>
    <row r="24" spans="1:7" s="18" customFormat="1" ht="30" customHeight="1" thickTop="1" thickBot="1" x14ac:dyDescent="0.4">
      <c r="A24" s="169" t="str">
        <f>IF('A-KPA Review'!N37="YES","Print","-----")</f>
        <v>Print</v>
      </c>
      <c r="B24" s="174"/>
      <c r="C24" s="16" t="str">
        <f>'A-KPA Review'!C37</f>
        <v>B</v>
      </c>
      <c r="D24" s="48" t="str">
        <f>'A-KPA Review'!D37</f>
        <v>Process Optimization</v>
      </c>
      <c r="E24" s="307" t="str">
        <f>IF(COUNTIF('A-KPA Review'!J37:J47,'Factor Lookup'!$A$44)&lt;&gt;0,"Development Plan - Performance Indicators Requiring Attention","")</f>
        <v/>
      </c>
      <c r="F24" s="308"/>
      <c r="G24" s="176"/>
    </row>
    <row r="25" spans="1:7" s="50" customFormat="1" ht="38.25" customHeight="1" thickTop="1" x14ac:dyDescent="0.35">
      <c r="A25" s="169" t="str">
        <f>IF('A-KPA Review'!N38="YES","Print","-----")</f>
        <v>Print</v>
      </c>
      <c r="B25" s="174"/>
      <c r="C25" s="49">
        <f>'A-KPA Review'!C38</f>
        <v>1</v>
      </c>
      <c r="D25" s="264" t="str">
        <f>'A-KPA Review'!D38</f>
        <v xml:space="preserve">Support process flows to guide project implementation (Ethics/ Data Transfer agreements/ Budgets/Procurement/IT/HR) </v>
      </c>
      <c r="E25" s="309">
        <f>'A-KPA Review'!M38</f>
        <v>0</v>
      </c>
      <c r="F25" s="310"/>
      <c r="G25" s="176"/>
    </row>
    <row r="26" spans="1:7" s="50" customFormat="1" ht="25" customHeight="1" x14ac:dyDescent="0.35">
      <c r="A26" s="169" t="str">
        <f>IF('A-KPA Review'!N39="YES","Print","-----")</f>
        <v>Print</v>
      </c>
      <c r="B26" s="174"/>
      <c r="C26" s="51">
        <f>'A-KPA Review'!C39</f>
        <v>2</v>
      </c>
      <c r="D26" s="170" t="str">
        <f>'A-KPA Review'!D39</f>
        <v>Provide support to the C&amp;H team in project planning and implementation, including tracking and visual management tools to keep partners on track.</v>
      </c>
      <c r="E26" s="303">
        <f>'A-KPA Review'!M39</f>
        <v>0</v>
      </c>
      <c r="F26" s="304"/>
      <c r="G26" s="176"/>
    </row>
    <row r="27" spans="1:7" s="50" customFormat="1" ht="25" customHeight="1" x14ac:dyDescent="0.35">
      <c r="A27" s="169" t="str">
        <f>IF('A-KPA Review'!N40="YES","Print","-----")</f>
        <v>Print</v>
      </c>
      <c r="B27" s="174"/>
      <c r="C27" s="51">
        <f>'A-KPA Review'!C40</f>
        <v>3</v>
      </c>
      <c r="D27" s="170" t="str">
        <f>'A-KPA Review'!D40</f>
        <v xml:space="preserve">Facilitate workshops on new grant proposals, project implementation strategies and ways of working. </v>
      </c>
      <c r="E27" s="303">
        <f>'A-KPA Review'!M40</f>
        <v>0</v>
      </c>
      <c r="F27" s="304"/>
      <c r="G27" s="176"/>
    </row>
    <row r="28" spans="1:7" s="50" customFormat="1" ht="25" customHeight="1" x14ac:dyDescent="0.35">
      <c r="A28" s="169" t="str">
        <f>IF('A-KPA Review'!N41="YES","Print","-----")</f>
        <v>Print</v>
      </c>
      <c r="B28" s="174"/>
      <c r="C28" s="51">
        <f>'A-KPA Review'!C41</f>
        <v>4</v>
      </c>
      <c r="D28" s="170" t="str">
        <f>'A-KPA Review'!D41</f>
        <v>Conduct improvement/alignment workshops with other partners to streamline research outputs.</v>
      </c>
      <c r="E28" s="303">
        <f>'A-KPA Review'!M41</f>
        <v>0</v>
      </c>
      <c r="F28" s="304"/>
      <c r="G28" s="176"/>
    </row>
    <row r="29" spans="1:7" s="50" customFormat="1" ht="25" customHeight="1" x14ac:dyDescent="0.35">
      <c r="A29" s="169" t="str">
        <f>IF('A-KPA Review'!N42="YES","Print","-----")</f>
        <v>-----</v>
      </c>
      <c r="B29" s="174"/>
      <c r="C29" s="51">
        <f>'A-KPA Review'!C42</f>
        <v>5</v>
      </c>
      <c r="D29" s="170">
        <f>'A-KPA Review'!D42</f>
        <v>0</v>
      </c>
      <c r="E29" s="303">
        <f>'A-KPA Review'!M42</f>
        <v>0</v>
      </c>
      <c r="F29" s="304"/>
      <c r="G29" s="176"/>
    </row>
    <row r="30" spans="1:7" s="50" customFormat="1" ht="25" customHeight="1" x14ac:dyDescent="0.35">
      <c r="A30" s="169" t="str">
        <f>IF('A-KPA Review'!N43="YES","Print","-----")</f>
        <v>-----</v>
      </c>
      <c r="B30" s="174"/>
      <c r="C30" s="51">
        <f>'A-KPA Review'!C43</f>
        <v>6</v>
      </c>
      <c r="D30" s="170">
        <f>'A-KPA Review'!D43</f>
        <v>0</v>
      </c>
      <c r="E30" s="303">
        <f>'A-KPA Review'!M43</f>
        <v>0</v>
      </c>
      <c r="F30" s="304"/>
      <c r="G30" s="176"/>
    </row>
    <row r="31" spans="1:7" s="50" customFormat="1" ht="12" x14ac:dyDescent="0.35">
      <c r="A31" s="169" t="str">
        <f>IF('A-KPA Review'!N44="YES","Print","-----")</f>
        <v>-----</v>
      </c>
      <c r="B31" s="174"/>
      <c r="C31" s="51">
        <f>'A-KPA Review'!C44</f>
        <v>7</v>
      </c>
      <c r="D31" s="170">
        <f>'A-KPA Review'!D44</f>
        <v>0</v>
      </c>
      <c r="E31" s="303">
        <f>'A-KPA Review'!M44</f>
        <v>0</v>
      </c>
      <c r="F31" s="304"/>
      <c r="G31" s="176"/>
    </row>
    <row r="32" spans="1:7" s="50" customFormat="1" ht="25" customHeight="1" x14ac:dyDescent="0.35">
      <c r="A32" s="169" t="str">
        <f>IF('A-KPA Review'!N45="YES","Print","-----")</f>
        <v>-----</v>
      </c>
      <c r="B32" s="174"/>
      <c r="C32" s="51">
        <f>'A-KPA Review'!C45</f>
        <v>8</v>
      </c>
      <c r="D32" s="170">
        <f>'A-KPA Review'!D45</f>
        <v>0</v>
      </c>
      <c r="E32" s="303">
        <f>'A-KPA Review'!M45</f>
        <v>0</v>
      </c>
      <c r="F32" s="304"/>
      <c r="G32" s="176"/>
    </row>
    <row r="33" spans="1:7" s="50" customFormat="1" ht="25" customHeight="1" thickBot="1" x14ac:dyDescent="0.4">
      <c r="A33" s="169" t="str">
        <f>IF('A-KPA Review'!N46="YES","Print","-----")</f>
        <v>-----</v>
      </c>
      <c r="B33" s="174"/>
      <c r="C33" s="51">
        <f>'A-KPA Review'!C46</f>
        <v>9</v>
      </c>
      <c r="D33" s="170">
        <f>'A-KPA Review'!D46</f>
        <v>0</v>
      </c>
      <c r="E33" s="303">
        <f>'A-KPA Review'!M46</f>
        <v>0</v>
      </c>
      <c r="F33" s="304"/>
      <c r="G33" s="176"/>
    </row>
    <row r="34" spans="1:7" s="50" customFormat="1" ht="25" customHeight="1" thickTop="1" thickBot="1" x14ac:dyDescent="0.4">
      <c r="A34" s="194" t="s">
        <v>45</v>
      </c>
      <c r="B34" s="174"/>
      <c r="C34" s="51" t="s">
        <v>74</v>
      </c>
      <c r="D34" s="202"/>
      <c r="E34" s="299"/>
      <c r="F34" s="300"/>
      <c r="G34" s="176"/>
    </row>
    <row r="35" spans="1:7" s="50" customFormat="1" ht="25" customHeight="1" thickTop="1" thickBot="1" x14ac:dyDescent="0.4">
      <c r="A35" s="194" t="s">
        <v>45</v>
      </c>
      <c r="B35" s="174"/>
      <c r="C35" s="51" t="s">
        <v>74</v>
      </c>
      <c r="D35" s="202"/>
      <c r="E35" s="299"/>
      <c r="F35" s="300"/>
      <c r="G35" s="176"/>
    </row>
    <row r="36" spans="1:7" s="50" customFormat="1" ht="25" customHeight="1" thickTop="1" thickBot="1" x14ac:dyDescent="0.4">
      <c r="A36" s="194" t="s">
        <v>45</v>
      </c>
      <c r="B36" s="174"/>
      <c r="C36" s="51" t="s">
        <v>74</v>
      </c>
      <c r="D36" s="202"/>
      <c r="E36" s="299"/>
      <c r="F36" s="300"/>
      <c r="G36" s="176"/>
    </row>
    <row r="37" spans="1:7" s="2" customFormat="1" ht="12" customHeight="1" thickTop="1" thickBot="1" x14ac:dyDescent="0.4">
      <c r="A37" s="169" t="str">
        <f>A24</f>
        <v>Print</v>
      </c>
      <c r="B37" s="174"/>
      <c r="D37" s="52" t="s">
        <v>75</v>
      </c>
      <c r="F37" s="15"/>
      <c r="G37" s="176"/>
    </row>
    <row r="38" spans="1:7" s="18" customFormat="1" ht="30" customHeight="1" thickTop="1" thickBot="1" x14ac:dyDescent="0.4">
      <c r="A38" s="169" t="str">
        <f>IF('A-KPA Review'!N48="YES","Print","-----")</f>
        <v>Print</v>
      </c>
      <c r="B38" s="174"/>
      <c r="C38" s="16" t="str">
        <f>'A-KPA Review'!C48</f>
        <v>C</v>
      </c>
      <c r="D38" s="48" t="str">
        <f>'A-KPA Review'!D48</f>
        <v>Stakeholder Management</v>
      </c>
      <c r="E38" s="307" t="str">
        <f>IF(COUNTIF('A-KPA Review'!J48:J58,'Factor Lookup'!$A$44)&lt;&gt;0,"Development Plan - Performance Indicators Requiring Attention","")</f>
        <v/>
      </c>
      <c r="F38" s="308"/>
      <c r="G38" s="176"/>
    </row>
    <row r="39" spans="1:7" s="50" customFormat="1" ht="25" customHeight="1" thickTop="1" x14ac:dyDescent="0.35">
      <c r="A39" s="169" t="str">
        <f>IF('A-KPA Review'!N49="YES","Print","-----")</f>
        <v>Print</v>
      </c>
      <c r="B39" s="174"/>
      <c r="C39" s="49">
        <f>'A-KPA Review'!C49</f>
        <v>1</v>
      </c>
      <c r="D39" s="264" t="str">
        <f>'A-KPA Review'!D49</f>
        <v xml:space="preserve">Maintain strategic partnerships and participation in appropriate activities with a range of national and international Climate and Health stakeholders including donors, Wits University and other academic institutions, government, NGOs and advocacy groups, </v>
      </c>
      <c r="E39" s="309">
        <f>'A-KPA Review'!M49</f>
        <v>0</v>
      </c>
      <c r="F39" s="310"/>
      <c r="G39" s="176"/>
    </row>
    <row r="40" spans="1:7" s="50" customFormat="1" ht="25" customHeight="1" x14ac:dyDescent="0.35">
      <c r="A40" s="169" t="str">
        <f>IF('A-KPA Review'!N50="YES","Print","-----")</f>
        <v>Print</v>
      </c>
      <c r="B40" s="174"/>
      <c r="C40" s="51">
        <f>'A-KPA Review'!C50</f>
        <v>2</v>
      </c>
      <c r="D40" s="170" t="str">
        <f>'A-KPA Review'!D50</f>
        <v>Contribute to the leadership of relevant national structures and profiling of the unit through appropriate engagement with media, academic, conference and other mediums.</v>
      </c>
      <c r="E40" s="303">
        <f>'A-KPA Review'!M50</f>
        <v>0</v>
      </c>
      <c r="F40" s="304"/>
      <c r="G40" s="176"/>
    </row>
    <row r="41" spans="1:7" s="50" customFormat="1" ht="25" customHeight="1" x14ac:dyDescent="0.35">
      <c r="A41" s="169" t="str">
        <f>IF('A-KPA Review'!N51="YES","Print","-----")</f>
        <v>Print</v>
      </c>
      <c r="B41" s="174"/>
      <c r="C41" s="51">
        <f>'A-KPA Review'!C51</f>
        <v>3</v>
      </c>
      <c r="D41" s="170" t="str">
        <f>'A-KPA Review'!D51</f>
        <v>Work with key academic thought leaders at Wits and other local and international universities on climate change to advance climate change research and advocacy.</v>
      </c>
      <c r="E41" s="303">
        <f>'A-KPA Review'!M51</f>
        <v>0</v>
      </c>
      <c r="F41" s="304"/>
      <c r="G41" s="176"/>
    </row>
    <row r="42" spans="1:7" s="50" customFormat="1" ht="25" customHeight="1" x14ac:dyDescent="0.35">
      <c r="A42" s="169" t="str">
        <f>IF('A-KPA Review'!N52="YES","Print","-----")</f>
        <v>Print</v>
      </c>
      <c r="B42" s="174"/>
      <c r="C42" s="51">
        <f>'A-KPA Review'!C52</f>
        <v>4</v>
      </c>
      <c r="D42" s="170" t="str">
        <f>'A-KPA Review'!D52</f>
        <v>Advise national, regional and international counterparts on technical issues and participate in relevant technical advisory groups with counterparts and partner institutions</v>
      </c>
      <c r="E42" s="303">
        <f>'A-KPA Review'!M52</f>
        <v>0</v>
      </c>
      <c r="F42" s="304"/>
      <c r="G42" s="176"/>
    </row>
    <row r="43" spans="1:7" s="50" customFormat="1" ht="25" customHeight="1" x14ac:dyDescent="0.35">
      <c r="A43" s="169" t="str">
        <f>IF('A-KPA Review'!N53="YES","Print","-----")</f>
        <v>-----</v>
      </c>
      <c r="B43" s="174"/>
      <c r="C43" s="51">
        <f>'A-KPA Review'!C53</f>
        <v>5</v>
      </c>
      <c r="D43" s="170">
        <f>'A-KPA Review'!D53</f>
        <v>0</v>
      </c>
      <c r="E43" s="303">
        <f>'A-KPA Review'!M53</f>
        <v>0</v>
      </c>
      <c r="F43" s="304"/>
      <c r="G43" s="176"/>
    </row>
    <row r="44" spans="1:7" s="50" customFormat="1" ht="12" x14ac:dyDescent="0.35">
      <c r="A44" s="169" t="str">
        <f>IF('A-KPA Review'!N54="YES","Print","-----")</f>
        <v>-----</v>
      </c>
      <c r="B44" s="174"/>
      <c r="C44" s="51">
        <f>'A-KPA Review'!C54</f>
        <v>6</v>
      </c>
      <c r="D44" s="170">
        <f>'A-KPA Review'!D54</f>
        <v>0</v>
      </c>
      <c r="E44" s="303">
        <f>'A-KPA Review'!M54</f>
        <v>0</v>
      </c>
      <c r="F44" s="304"/>
      <c r="G44" s="176"/>
    </row>
    <row r="45" spans="1:7" s="50" customFormat="1" ht="25" customHeight="1" x14ac:dyDescent="0.35">
      <c r="A45" s="169" t="str">
        <f>IF('A-KPA Review'!N55="YES","Print","-----")</f>
        <v>-----</v>
      </c>
      <c r="B45" s="174"/>
      <c r="C45" s="51">
        <f>'A-KPA Review'!C55</f>
        <v>7</v>
      </c>
      <c r="D45" s="170">
        <f>'A-KPA Review'!D55</f>
        <v>0</v>
      </c>
      <c r="E45" s="303">
        <f>'A-KPA Review'!M55</f>
        <v>0</v>
      </c>
      <c r="F45" s="304"/>
      <c r="G45" s="176"/>
    </row>
    <row r="46" spans="1:7" s="50" customFormat="1" ht="25" customHeight="1" x14ac:dyDescent="0.35">
      <c r="A46" s="169" t="str">
        <f>IF('A-KPA Review'!N56="YES","Print","-----")</f>
        <v>-----</v>
      </c>
      <c r="B46" s="174"/>
      <c r="C46" s="51">
        <f>'A-KPA Review'!C56</f>
        <v>8</v>
      </c>
      <c r="D46" s="170">
        <f>'A-KPA Review'!D56</f>
        <v>0</v>
      </c>
      <c r="E46" s="303">
        <f>'A-KPA Review'!M56</f>
        <v>0</v>
      </c>
      <c r="F46" s="304"/>
      <c r="G46" s="176"/>
    </row>
    <row r="47" spans="1:7" s="50" customFormat="1" ht="25" customHeight="1" thickBot="1" x14ac:dyDescent="0.4">
      <c r="A47" s="169" t="str">
        <f>IF('A-KPA Review'!N57="YES","Print","-----")</f>
        <v>-----</v>
      </c>
      <c r="B47" s="174"/>
      <c r="C47" s="51">
        <f>'A-KPA Review'!C57</f>
        <v>9</v>
      </c>
      <c r="D47" s="170">
        <f>'A-KPA Review'!D57</f>
        <v>0</v>
      </c>
      <c r="E47" s="303">
        <f>'A-KPA Review'!M57</f>
        <v>0</v>
      </c>
      <c r="F47" s="304"/>
      <c r="G47" s="176"/>
    </row>
    <row r="48" spans="1:7" s="50" customFormat="1" ht="25" customHeight="1" thickTop="1" thickBot="1" x14ac:dyDescent="0.4">
      <c r="A48" s="194" t="s">
        <v>45</v>
      </c>
      <c r="B48" s="174"/>
      <c r="C48" s="51" t="s">
        <v>74</v>
      </c>
      <c r="D48" s="202"/>
      <c r="E48" s="299"/>
      <c r="F48" s="300"/>
      <c r="G48" s="176"/>
    </row>
    <row r="49" spans="1:7" s="50" customFormat="1" ht="25" customHeight="1" thickTop="1" thickBot="1" x14ac:dyDescent="0.4">
      <c r="A49" s="194" t="s">
        <v>45</v>
      </c>
      <c r="B49" s="174"/>
      <c r="C49" s="51" t="s">
        <v>74</v>
      </c>
      <c r="D49" s="202"/>
      <c r="E49" s="299"/>
      <c r="F49" s="300"/>
      <c r="G49" s="176"/>
    </row>
    <row r="50" spans="1:7" s="50" customFormat="1" ht="25" customHeight="1" thickTop="1" thickBot="1" x14ac:dyDescent="0.4">
      <c r="A50" s="194" t="s">
        <v>45</v>
      </c>
      <c r="B50" s="174"/>
      <c r="C50" s="51" t="s">
        <v>74</v>
      </c>
      <c r="D50" s="202"/>
      <c r="E50" s="299"/>
      <c r="F50" s="300"/>
      <c r="G50" s="176"/>
    </row>
    <row r="51" spans="1:7" s="2" customFormat="1" ht="12" customHeight="1" thickTop="1" thickBot="1" x14ac:dyDescent="0.4">
      <c r="A51" s="169" t="str">
        <f>A38</f>
        <v>Print</v>
      </c>
      <c r="B51" s="174"/>
      <c r="D51" s="52" t="s">
        <v>75</v>
      </c>
      <c r="F51" s="15"/>
      <c r="G51" s="176"/>
    </row>
    <row r="52" spans="1:7" s="18" customFormat="1" ht="30" customHeight="1" thickTop="1" thickBot="1" x14ac:dyDescent="0.4">
      <c r="A52" s="169" t="str">
        <f>IF('A-KPA Review'!N59="YES","Print","-----")</f>
        <v>Print</v>
      </c>
      <c r="B52" s="174"/>
      <c r="C52" s="16" t="str">
        <f>'A-KPA Review'!C59</f>
        <v>D</v>
      </c>
      <c r="D52" s="48" t="str">
        <f>'A-KPA Review'!D59</f>
        <v>Research design, implementation, and dissemination</v>
      </c>
      <c r="E52" s="307" t="str">
        <f>IF(COUNTIF('A-KPA Review'!J59:J69,'Factor Lookup'!$A$44)&lt;&gt;0,"Development Plan - Performance Indicators Requiring Attention","")</f>
        <v/>
      </c>
      <c r="F52" s="308"/>
      <c r="G52" s="176"/>
    </row>
    <row r="53" spans="1:7" s="50" customFormat="1" ht="25" customHeight="1" thickTop="1" x14ac:dyDescent="0.35">
      <c r="A53" s="169" t="str">
        <f>IF('A-KPA Review'!N60="YES","Print","-----")</f>
        <v>Print</v>
      </c>
      <c r="B53" s="174"/>
      <c r="C53" s="49">
        <f>'A-KPA Review'!C60</f>
        <v>1</v>
      </c>
      <c r="D53" s="264" t="str">
        <f>'A-KPA Review'!D60</f>
        <v xml:space="preserve">Maintain a scientific/academic focus within the programme that aligns with the Climate and Health strategies. </v>
      </c>
      <c r="E53" s="309">
        <f>'A-KPA Review'!M60</f>
        <v>0</v>
      </c>
      <c r="F53" s="310"/>
      <c r="G53" s="176"/>
    </row>
    <row r="54" spans="1:7" s="50" customFormat="1" ht="25" customHeight="1" x14ac:dyDescent="0.35">
      <c r="A54" s="169" t="str">
        <f>IF('A-KPA Review'!N61="YES","Print","-----")</f>
        <v>Print</v>
      </c>
      <c r="B54" s="174"/>
      <c r="C54" s="51">
        <f>'A-KPA Review'!C61</f>
        <v>2</v>
      </c>
      <c r="D54" s="170" t="str">
        <f>'A-KPA Review'!D61</f>
        <v xml:space="preserve">Contribute to the writing of research protocols. </v>
      </c>
      <c r="E54" s="303">
        <f>'A-KPA Review'!M61</f>
        <v>0</v>
      </c>
      <c r="F54" s="304"/>
      <c r="G54" s="176"/>
    </row>
    <row r="55" spans="1:7" s="50" customFormat="1" ht="114.75" customHeight="1" x14ac:dyDescent="0.35">
      <c r="A55" s="169" t="str">
        <f>IF('A-KPA Review'!N62="YES","Print","-----")</f>
        <v>Print</v>
      </c>
      <c r="B55" s="174"/>
      <c r="C55" s="51">
        <f>'A-KPA Review'!C62</f>
        <v>3</v>
      </c>
      <c r="D55" s="263" t="str">
        <f>'A-KPA Review'!D62</f>
        <v>Develop and design research tools and Standard Operating Procedures.</v>
      </c>
      <c r="E55" s="303">
        <f>'A-KPA Review'!M62</f>
        <v>0</v>
      </c>
      <c r="F55" s="304"/>
      <c r="G55" s="176"/>
    </row>
    <row r="56" spans="1:7" s="50" customFormat="1" ht="25" customHeight="1" x14ac:dyDescent="0.35">
      <c r="A56" s="169" t="str">
        <f>IF('A-KPA Review'!N63="YES","Print","-----")</f>
        <v>Print</v>
      </c>
      <c r="B56" s="174"/>
      <c r="C56" s="51">
        <f>'A-KPA Review'!C63</f>
        <v>4</v>
      </c>
      <c r="D56" s="170" t="str">
        <f>'A-KPA Review'!D63</f>
        <v>Comply with internal and external research policies and SOPs</v>
      </c>
      <c r="E56" s="303">
        <f>'A-KPA Review'!M63</f>
        <v>0</v>
      </c>
      <c r="F56" s="304"/>
      <c r="G56" s="176"/>
    </row>
    <row r="57" spans="1:7" s="50" customFormat="1" ht="25" customHeight="1" x14ac:dyDescent="0.35">
      <c r="A57" s="169" t="str">
        <f>IF('A-KPA Review'!N64="YES","Print","-----")</f>
        <v>Print</v>
      </c>
      <c r="B57" s="174"/>
      <c r="C57" s="51">
        <f>'A-KPA Review'!C64</f>
        <v>5</v>
      </c>
      <c r="D57" s="170" t="str">
        <f>'A-KPA Review'!D64</f>
        <v>Participate in data science analyses for research projects</v>
      </c>
      <c r="E57" s="303">
        <f>'A-KPA Review'!M64</f>
        <v>0</v>
      </c>
      <c r="F57" s="304"/>
      <c r="G57" s="176"/>
    </row>
    <row r="58" spans="1:7" s="50" customFormat="1" ht="25" customHeight="1" x14ac:dyDescent="0.35">
      <c r="A58" s="169" t="str">
        <f>IF('A-KPA Review'!N65="YES","Print","-----")</f>
        <v>Print</v>
      </c>
      <c r="B58" s="174"/>
      <c r="C58" s="51">
        <f>'A-KPA Review'!C65</f>
        <v>6</v>
      </c>
      <c r="D58" s="170" t="str">
        <f>'A-KPA Review'!D65</f>
        <v>Stay abreast with relevant research findings and collaborate closely with other investigators on related studies. Publish scientific publications.</v>
      </c>
      <c r="E58" s="303">
        <f>'A-KPA Review'!M65</f>
        <v>0</v>
      </c>
      <c r="F58" s="304"/>
      <c r="G58" s="176"/>
    </row>
    <row r="59" spans="1:7" s="50" customFormat="1" ht="25" customHeight="1" x14ac:dyDescent="0.35">
      <c r="A59" s="169" t="str">
        <f>IF('A-KPA Review'!N66="YES","Print","-----")</f>
        <v>Print</v>
      </c>
      <c r="B59" s="174"/>
      <c r="C59" s="51">
        <f>'A-KPA Review'!C66</f>
        <v>7</v>
      </c>
      <c r="D59" s="170" t="str">
        <f>'A-KPA Review'!D66</f>
        <v xml:space="preserve">Disseminate research findings to a broader audience through blogging, advocacy forums etc </v>
      </c>
      <c r="E59" s="303">
        <f>'A-KPA Review'!M66</f>
        <v>0</v>
      </c>
      <c r="F59" s="304"/>
      <c r="G59" s="176"/>
    </row>
    <row r="60" spans="1:7" s="50" customFormat="1" ht="25" customHeight="1" x14ac:dyDescent="0.35">
      <c r="A60" s="169" t="str">
        <f>IF('A-KPA Review'!N67="YES","Print","-----")</f>
        <v>-----</v>
      </c>
      <c r="B60" s="174"/>
      <c r="C60" s="51">
        <f>'A-KPA Review'!C67</f>
        <v>8</v>
      </c>
      <c r="D60" s="170">
        <f>'A-KPA Review'!D67</f>
        <v>0</v>
      </c>
      <c r="E60" s="303">
        <f>'A-KPA Review'!M67</f>
        <v>0</v>
      </c>
      <c r="F60" s="304"/>
      <c r="G60" s="176"/>
    </row>
    <row r="61" spans="1:7" s="50" customFormat="1" ht="25" customHeight="1" thickBot="1" x14ac:dyDescent="0.4">
      <c r="A61" s="169" t="str">
        <f>IF('A-KPA Review'!N68="YES","Print","-----")</f>
        <v>-----</v>
      </c>
      <c r="B61" s="174"/>
      <c r="C61" s="51">
        <f>'A-KPA Review'!C68</f>
        <v>9</v>
      </c>
      <c r="D61" s="170">
        <f>'A-KPA Review'!D68</f>
        <v>0</v>
      </c>
      <c r="E61" s="303">
        <f>'A-KPA Review'!M68</f>
        <v>0</v>
      </c>
      <c r="F61" s="304"/>
      <c r="G61" s="176"/>
    </row>
    <row r="62" spans="1:7" s="50" customFormat="1" ht="25" customHeight="1" thickTop="1" thickBot="1" x14ac:dyDescent="0.4">
      <c r="A62" s="194" t="s">
        <v>45</v>
      </c>
      <c r="B62" s="174"/>
      <c r="C62" s="51" t="s">
        <v>74</v>
      </c>
      <c r="D62" s="202"/>
      <c r="E62" s="299"/>
      <c r="F62" s="300"/>
      <c r="G62" s="176"/>
    </row>
    <row r="63" spans="1:7" s="50" customFormat="1" ht="25" customHeight="1" thickTop="1" thickBot="1" x14ac:dyDescent="0.4">
      <c r="A63" s="194" t="s">
        <v>45</v>
      </c>
      <c r="B63" s="174"/>
      <c r="C63" s="51" t="s">
        <v>74</v>
      </c>
      <c r="D63" s="202"/>
      <c r="E63" s="299"/>
      <c r="F63" s="300"/>
      <c r="G63" s="176"/>
    </row>
    <row r="64" spans="1:7" s="50" customFormat="1" ht="25" customHeight="1" thickTop="1" thickBot="1" x14ac:dyDescent="0.4">
      <c r="A64" s="194" t="s">
        <v>45</v>
      </c>
      <c r="B64" s="174"/>
      <c r="C64" s="51" t="s">
        <v>74</v>
      </c>
      <c r="D64" s="202"/>
      <c r="E64" s="299"/>
      <c r="F64" s="300"/>
      <c r="G64" s="176"/>
    </row>
    <row r="65" spans="1:7" s="2" customFormat="1" ht="12" customHeight="1" thickTop="1" thickBot="1" x14ac:dyDescent="0.4">
      <c r="A65" s="169" t="str">
        <f>A52</f>
        <v>Print</v>
      </c>
      <c r="B65" s="174"/>
      <c r="D65" s="52" t="s">
        <v>75</v>
      </c>
      <c r="F65" s="15"/>
      <c r="G65" s="176"/>
    </row>
    <row r="66" spans="1:7" s="18" customFormat="1" ht="30" customHeight="1" thickTop="1" thickBot="1" x14ac:dyDescent="0.4">
      <c r="A66" s="169" t="str">
        <f>IF('A-KPA Review'!N70="YES","Print","-----")</f>
        <v>-----</v>
      </c>
      <c r="B66" s="174"/>
      <c r="C66" s="16" t="str">
        <f>'A-KPA Review'!C70</f>
        <v>E</v>
      </c>
      <c r="D66" s="48" t="str">
        <f>'A-KPA Review'!D70</f>
        <v>ENTER KPA IN THIS CELL (and related indicators in the lines provided below)</v>
      </c>
      <c r="E66" s="307" t="str">
        <f>IF(COUNTIF('A-KPA Review'!J70:J80,'Factor Lookup'!$A$44)&lt;&gt;0,"Development Plan - Performance Indicators Requiring Attention","")</f>
        <v/>
      </c>
      <c r="F66" s="308"/>
      <c r="G66" s="176"/>
    </row>
    <row r="67" spans="1:7" s="50" customFormat="1" ht="25" customHeight="1" thickTop="1" x14ac:dyDescent="0.35">
      <c r="A67" s="169" t="str">
        <f>IF('A-KPA Review'!N71="YES","Print","-----")</f>
        <v>-----</v>
      </c>
      <c r="B67" s="174"/>
      <c r="C67" s="49">
        <f>'A-KPA Review'!C71</f>
        <v>1</v>
      </c>
      <c r="D67" s="264">
        <f>'A-KPA Review'!D71</f>
        <v>0</v>
      </c>
      <c r="E67" s="309">
        <f>'A-KPA Review'!M71</f>
        <v>0</v>
      </c>
      <c r="F67" s="310"/>
      <c r="G67" s="176"/>
    </row>
    <row r="68" spans="1:7" s="50" customFormat="1" ht="25" customHeight="1" x14ac:dyDescent="0.35">
      <c r="A68" s="169" t="str">
        <f>IF('A-KPA Review'!N72="YES","Print","-----")</f>
        <v>-----</v>
      </c>
      <c r="B68" s="174"/>
      <c r="C68" s="51">
        <f>'A-KPA Review'!C72</f>
        <v>2</v>
      </c>
      <c r="D68" s="170">
        <f>'A-KPA Review'!D72</f>
        <v>0</v>
      </c>
      <c r="E68" s="303">
        <f>'A-KPA Review'!M72</f>
        <v>0</v>
      </c>
      <c r="F68" s="304"/>
      <c r="G68" s="176"/>
    </row>
    <row r="69" spans="1:7" s="50" customFormat="1" ht="25" customHeight="1" x14ac:dyDescent="0.35">
      <c r="A69" s="169" t="str">
        <f>IF('A-KPA Review'!N73="YES","Print","-----")</f>
        <v>-----</v>
      </c>
      <c r="B69" s="174"/>
      <c r="C69" s="51">
        <f>'A-KPA Review'!C73</f>
        <v>3</v>
      </c>
      <c r="D69" s="170">
        <f>'A-KPA Review'!D73</f>
        <v>0</v>
      </c>
      <c r="E69" s="303">
        <f>'A-KPA Review'!M73</f>
        <v>0</v>
      </c>
      <c r="F69" s="304"/>
      <c r="G69" s="176"/>
    </row>
    <row r="70" spans="1:7" s="50" customFormat="1" ht="25" customHeight="1" x14ac:dyDescent="0.35">
      <c r="A70" s="169" t="str">
        <f>IF('A-KPA Review'!N74="YES","Print","-----")</f>
        <v>-----</v>
      </c>
      <c r="B70" s="174"/>
      <c r="C70" s="51">
        <f>'A-KPA Review'!C74</f>
        <v>4</v>
      </c>
      <c r="D70" s="170">
        <f>'A-KPA Review'!D74</f>
        <v>0</v>
      </c>
      <c r="E70" s="303">
        <f>'A-KPA Review'!M74</f>
        <v>0</v>
      </c>
      <c r="F70" s="304"/>
      <c r="G70" s="176"/>
    </row>
    <row r="71" spans="1:7" s="50" customFormat="1" ht="25" customHeight="1" x14ac:dyDescent="0.35">
      <c r="A71" s="169" t="str">
        <f>IF('A-KPA Review'!N75="YES","Print","-----")</f>
        <v>-----</v>
      </c>
      <c r="B71" s="174"/>
      <c r="C71" s="51">
        <f>'A-KPA Review'!C75</f>
        <v>5</v>
      </c>
      <c r="D71" s="170">
        <f>'A-KPA Review'!D75</f>
        <v>0</v>
      </c>
      <c r="E71" s="303">
        <f>'A-KPA Review'!M75</f>
        <v>0</v>
      </c>
      <c r="F71" s="304"/>
      <c r="G71" s="176"/>
    </row>
    <row r="72" spans="1:7" s="50" customFormat="1" ht="25" customHeight="1" x14ac:dyDescent="0.35">
      <c r="A72" s="169" t="str">
        <f>IF('A-KPA Review'!N76="YES","Print","-----")</f>
        <v>-----</v>
      </c>
      <c r="B72" s="174"/>
      <c r="C72" s="51">
        <f>'A-KPA Review'!C76</f>
        <v>6</v>
      </c>
      <c r="D72" s="170">
        <f>'A-KPA Review'!D76</f>
        <v>0</v>
      </c>
      <c r="E72" s="303">
        <f>'A-KPA Review'!M76</f>
        <v>0</v>
      </c>
      <c r="F72" s="304"/>
      <c r="G72" s="176"/>
    </row>
    <row r="73" spans="1:7" s="50" customFormat="1" ht="25" customHeight="1" x14ac:dyDescent="0.35">
      <c r="A73" s="169" t="str">
        <f>IF('A-KPA Review'!N77="YES","Print","-----")</f>
        <v>-----</v>
      </c>
      <c r="B73" s="174"/>
      <c r="C73" s="51">
        <f>'A-KPA Review'!C77</f>
        <v>7</v>
      </c>
      <c r="D73" s="170">
        <f>'A-KPA Review'!D77</f>
        <v>0</v>
      </c>
      <c r="E73" s="303">
        <f>'A-KPA Review'!M77</f>
        <v>0</v>
      </c>
      <c r="F73" s="304"/>
      <c r="G73" s="176"/>
    </row>
    <row r="74" spans="1:7" s="50" customFormat="1" ht="25" customHeight="1" x14ac:dyDescent="0.35">
      <c r="A74" s="169" t="str">
        <f>IF('A-KPA Review'!N78="YES","Print","-----")</f>
        <v>-----</v>
      </c>
      <c r="B74" s="174"/>
      <c r="C74" s="51">
        <f>'A-KPA Review'!C78</f>
        <v>8</v>
      </c>
      <c r="D74" s="170">
        <f>'A-KPA Review'!D78</f>
        <v>0</v>
      </c>
      <c r="E74" s="303">
        <f>'A-KPA Review'!M78</f>
        <v>0</v>
      </c>
      <c r="F74" s="304"/>
      <c r="G74" s="176"/>
    </row>
    <row r="75" spans="1:7" s="50" customFormat="1" ht="25" customHeight="1" thickBot="1" x14ac:dyDescent="0.4">
      <c r="A75" s="169" t="str">
        <f>IF('A-KPA Review'!N79="YES","Print","-----")</f>
        <v>-----</v>
      </c>
      <c r="B75" s="174"/>
      <c r="C75" s="51">
        <f>'A-KPA Review'!C79</f>
        <v>9</v>
      </c>
      <c r="D75" s="170">
        <f>'A-KPA Review'!D79</f>
        <v>0</v>
      </c>
      <c r="E75" s="303">
        <f>'A-KPA Review'!M79</f>
        <v>0</v>
      </c>
      <c r="F75" s="304"/>
      <c r="G75" s="176"/>
    </row>
    <row r="76" spans="1:7" s="50" customFormat="1" ht="25" customHeight="1" thickTop="1" thickBot="1" x14ac:dyDescent="0.4">
      <c r="A76" s="194" t="s">
        <v>45</v>
      </c>
      <c r="B76" s="174"/>
      <c r="C76" s="51" t="s">
        <v>74</v>
      </c>
      <c r="D76" s="202"/>
      <c r="E76" s="299"/>
      <c r="F76" s="300"/>
      <c r="G76" s="176"/>
    </row>
    <row r="77" spans="1:7" s="50" customFormat="1" ht="25" customHeight="1" thickTop="1" thickBot="1" x14ac:dyDescent="0.4">
      <c r="A77" s="194" t="s">
        <v>45</v>
      </c>
      <c r="B77" s="174"/>
      <c r="C77" s="51" t="s">
        <v>74</v>
      </c>
      <c r="D77" s="202"/>
      <c r="E77" s="299"/>
      <c r="F77" s="300"/>
      <c r="G77" s="176"/>
    </row>
    <row r="78" spans="1:7" s="50" customFormat="1" ht="25" customHeight="1" thickTop="1" thickBot="1" x14ac:dyDescent="0.4">
      <c r="A78" s="194" t="s">
        <v>45</v>
      </c>
      <c r="B78" s="174"/>
      <c r="C78" s="51" t="s">
        <v>74</v>
      </c>
      <c r="D78" s="202"/>
      <c r="E78" s="299"/>
      <c r="F78" s="300"/>
      <c r="G78" s="176"/>
    </row>
    <row r="79" spans="1:7" s="2" customFormat="1" ht="12" customHeight="1" thickTop="1" thickBot="1" x14ac:dyDescent="0.4">
      <c r="A79" s="169" t="str">
        <f>A66</f>
        <v>-----</v>
      </c>
      <c r="B79" s="174"/>
      <c r="D79" s="52" t="s">
        <v>75</v>
      </c>
      <c r="F79" s="15"/>
      <c r="G79" s="176"/>
    </row>
    <row r="80" spans="1:7" s="18" customFormat="1" ht="30" customHeight="1" thickTop="1" thickBot="1" x14ac:dyDescent="0.4">
      <c r="A80" s="169" t="str">
        <f>IF('A-KPA Review'!N81="YES","Print","-----")</f>
        <v>-----</v>
      </c>
      <c r="B80" s="174"/>
      <c r="C80" s="16" t="str">
        <f>'A-KPA Review'!C81</f>
        <v>F</v>
      </c>
      <c r="D80" s="48" t="str">
        <f>'A-KPA Review'!D81</f>
        <v>ENTER KPA IN THIS CELL (and related indicators in the lines provided below)</v>
      </c>
      <c r="E80" s="307" t="str">
        <f>IF(COUNTIF('A-KPA Review'!J81:J91,'Factor Lookup'!$A$44)&lt;&gt;0,"Development Plan - Performance Indicators Requiring Attention","")</f>
        <v/>
      </c>
      <c r="F80" s="308"/>
      <c r="G80" s="176"/>
    </row>
    <row r="81" spans="1:7" s="50" customFormat="1" ht="25" customHeight="1" thickTop="1" x14ac:dyDescent="0.35">
      <c r="A81" s="169" t="str">
        <f>IF('A-KPA Review'!N82="YES","Print","-----")</f>
        <v>-----</v>
      </c>
      <c r="B81" s="174"/>
      <c r="C81" s="49">
        <f>'A-KPA Review'!C82</f>
        <v>1</v>
      </c>
      <c r="D81" s="264">
        <f>'A-KPA Review'!D82</f>
        <v>0</v>
      </c>
      <c r="E81" s="309">
        <f>'A-KPA Review'!M82</f>
        <v>0</v>
      </c>
      <c r="F81" s="310"/>
      <c r="G81" s="176"/>
    </row>
    <row r="82" spans="1:7" s="50" customFormat="1" ht="25" customHeight="1" x14ac:dyDescent="0.35">
      <c r="A82" s="169" t="str">
        <f>IF('A-KPA Review'!N83="YES","Print","-----")</f>
        <v>-----</v>
      </c>
      <c r="B82" s="174"/>
      <c r="C82" s="51">
        <f>'A-KPA Review'!C83</f>
        <v>2</v>
      </c>
      <c r="D82" s="170">
        <f>'A-KPA Review'!D83</f>
        <v>0</v>
      </c>
      <c r="E82" s="303">
        <f>'A-KPA Review'!M83</f>
        <v>0</v>
      </c>
      <c r="F82" s="304"/>
      <c r="G82" s="176"/>
    </row>
    <row r="83" spans="1:7" s="50" customFormat="1" ht="25" customHeight="1" x14ac:dyDescent="0.35">
      <c r="A83" s="169" t="str">
        <f>IF('A-KPA Review'!N84="YES","Print","-----")</f>
        <v>-----</v>
      </c>
      <c r="B83" s="174"/>
      <c r="C83" s="51">
        <f>'A-KPA Review'!C84</f>
        <v>3</v>
      </c>
      <c r="D83" s="170">
        <f>'A-KPA Review'!D84</f>
        <v>0</v>
      </c>
      <c r="E83" s="303">
        <f>'A-KPA Review'!M84</f>
        <v>0</v>
      </c>
      <c r="F83" s="304"/>
      <c r="G83" s="176"/>
    </row>
    <row r="84" spans="1:7" s="50" customFormat="1" ht="25" customHeight="1" x14ac:dyDescent="0.35">
      <c r="A84" s="169" t="str">
        <f>IF('A-KPA Review'!N85="YES","Print","-----")</f>
        <v>-----</v>
      </c>
      <c r="B84" s="174"/>
      <c r="C84" s="51">
        <f>'A-KPA Review'!C85</f>
        <v>4</v>
      </c>
      <c r="D84" s="170">
        <f>'A-KPA Review'!D85</f>
        <v>0</v>
      </c>
      <c r="E84" s="303">
        <f>'A-KPA Review'!M85</f>
        <v>0</v>
      </c>
      <c r="F84" s="304"/>
      <c r="G84" s="176"/>
    </row>
    <row r="85" spans="1:7" s="50" customFormat="1" ht="25" customHeight="1" x14ac:dyDescent="0.35">
      <c r="A85" s="169" t="str">
        <f>IF('A-KPA Review'!N86="YES","Print","-----")</f>
        <v>-----</v>
      </c>
      <c r="B85" s="174"/>
      <c r="C85" s="51">
        <f>'A-KPA Review'!C86</f>
        <v>5</v>
      </c>
      <c r="D85" s="170">
        <f>'A-KPA Review'!D86</f>
        <v>0</v>
      </c>
      <c r="E85" s="303">
        <f>'A-KPA Review'!M86</f>
        <v>0</v>
      </c>
      <c r="F85" s="304"/>
      <c r="G85" s="176"/>
    </row>
    <row r="86" spans="1:7" s="50" customFormat="1" ht="25" customHeight="1" x14ac:dyDescent="0.35">
      <c r="A86" s="169" t="str">
        <f>IF('A-KPA Review'!N87="YES","Print","-----")</f>
        <v>-----</v>
      </c>
      <c r="B86" s="174"/>
      <c r="C86" s="51">
        <f>'A-KPA Review'!C87</f>
        <v>6</v>
      </c>
      <c r="D86" s="170">
        <f>'A-KPA Review'!D87</f>
        <v>0</v>
      </c>
      <c r="E86" s="303">
        <f>'A-KPA Review'!M87</f>
        <v>0</v>
      </c>
      <c r="F86" s="304"/>
      <c r="G86" s="176"/>
    </row>
    <row r="87" spans="1:7" s="50" customFormat="1" ht="25" customHeight="1" x14ac:dyDescent="0.35">
      <c r="A87" s="169" t="str">
        <f>IF('A-KPA Review'!N88="YES","Print","-----")</f>
        <v>-----</v>
      </c>
      <c r="B87" s="174"/>
      <c r="C87" s="51">
        <f>'A-KPA Review'!C88</f>
        <v>7</v>
      </c>
      <c r="D87" s="170">
        <f>'A-KPA Review'!D88</f>
        <v>0</v>
      </c>
      <c r="E87" s="303">
        <f>'A-KPA Review'!M88</f>
        <v>0</v>
      </c>
      <c r="F87" s="304"/>
      <c r="G87" s="176"/>
    </row>
    <row r="88" spans="1:7" s="50" customFormat="1" ht="25" customHeight="1" x14ac:dyDescent="0.35">
      <c r="A88" s="169" t="str">
        <f>IF('A-KPA Review'!N89="YES","Print","-----")</f>
        <v>-----</v>
      </c>
      <c r="B88" s="174"/>
      <c r="C88" s="51">
        <f>'A-KPA Review'!C89</f>
        <v>8</v>
      </c>
      <c r="D88" s="170">
        <f>'A-KPA Review'!D89</f>
        <v>0</v>
      </c>
      <c r="E88" s="303">
        <f>'A-KPA Review'!M89</f>
        <v>0</v>
      </c>
      <c r="F88" s="304"/>
      <c r="G88" s="176"/>
    </row>
    <row r="89" spans="1:7" s="50" customFormat="1" ht="25" customHeight="1" thickBot="1" x14ac:dyDescent="0.4">
      <c r="A89" s="169" t="str">
        <f>IF('A-KPA Review'!N90="YES","Print","-----")</f>
        <v>-----</v>
      </c>
      <c r="B89" s="174"/>
      <c r="C89" s="51">
        <f>'A-KPA Review'!C90</f>
        <v>9</v>
      </c>
      <c r="D89" s="170">
        <f>'A-KPA Review'!D90</f>
        <v>0</v>
      </c>
      <c r="E89" s="303">
        <f>'A-KPA Review'!M90</f>
        <v>0</v>
      </c>
      <c r="F89" s="304"/>
      <c r="G89" s="176"/>
    </row>
    <row r="90" spans="1:7" s="50" customFormat="1" ht="25" customHeight="1" thickTop="1" thickBot="1" x14ac:dyDescent="0.4">
      <c r="A90" s="194" t="s">
        <v>45</v>
      </c>
      <c r="B90" s="174"/>
      <c r="C90" s="51" t="s">
        <v>74</v>
      </c>
      <c r="D90" s="202"/>
      <c r="E90" s="299"/>
      <c r="F90" s="300"/>
      <c r="G90" s="176"/>
    </row>
    <row r="91" spans="1:7" s="50" customFormat="1" ht="25" customHeight="1" thickTop="1" thickBot="1" x14ac:dyDescent="0.4">
      <c r="A91" s="194" t="s">
        <v>45</v>
      </c>
      <c r="B91" s="174"/>
      <c r="C91" s="51" t="s">
        <v>74</v>
      </c>
      <c r="D91" s="202"/>
      <c r="E91" s="299"/>
      <c r="F91" s="300"/>
      <c r="G91" s="176"/>
    </row>
    <row r="92" spans="1:7" s="50" customFormat="1" ht="25" customHeight="1" thickTop="1" thickBot="1" x14ac:dyDescent="0.4">
      <c r="A92" s="194" t="s">
        <v>45</v>
      </c>
      <c r="B92" s="174"/>
      <c r="C92" s="51" t="s">
        <v>74</v>
      </c>
      <c r="D92" s="202"/>
      <c r="E92" s="299"/>
      <c r="F92" s="300"/>
      <c r="G92" s="176"/>
    </row>
    <row r="93" spans="1:7" s="2" customFormat="1" ht="12" customHeight="1" thickTop="1" thickBot="1" x14ac:dyDescent="0.4">
      <c r="A93" s="169" t="str">
        <f>A80</f>
        <v>-----</v>
      </c>
      <c r="B93" s="174"/>
      <c r="D93" s="52" t="s">
        <v>75</v>
      </c>
      <c r="F93" s="15"/>
      <c r="G93" s="176"/>
    </row>
    <row r="94" spans="1:7" s="18" customFormat="1" ht="30" customHeight="1" thickTop="1" thickBot="1" x14ac:dyDescent="0.4">
      <c r="A94" s="169" t="str">
        <f>IF('A-KPA Review'!N92="YES","Print","-----")</f>
        <v>-----</v>
      </c>
      <c r="B94" s="174"/>
      <c r="C94" s="16" t="str">
        <f>'A-KPA Review'!C92</f>
        <v>G</v>
      </c>
      <c r="D94" s="48" t="str">
        <f>'A-KPA Review'!D92</f>
        <v>ENTER KPA IN THIS CELL (and related indicators in the lines provided below)</v>
      </c>
      <c r="E94" s="307" t="str">
        <f>IF(COUNTIF('A-KPA Review'!J92:J102,'Factor Lookup'!$A$44)&lt;&gt;0,"Development Plan - Performance Indicators Requiring Attention","")</f>
        <v/>
      </c>
      <c r="F94" s="308"/>
      <c r="G94" s="176"/>
    </row>
    <row r="95" spans="1:7" s="50" customFormat="1" ht="25" customHeight="1" thickTop="1" x14ac:dyDescent="0.35">
      <c r="A95" s="169" t="str">
        <f>IF('A-KPA Review'!N93="YES","Print","-----")</f>
        <v>-----</v>
      </c>
      <c r="B95" s="174"/>
      <c r="C95" s="49">
        <f>'A-KPA Review'!C93</f>
        <v>1</v>
      </c>
      <c r="D95" s="264">
        <f>'A-KPA Review'!D93</f>
        <v>0</v>
      </c>
      <c r="E95" s="309">
        <f>'A-KPA Review'!M93</f>
        <v>0</v>
      </c>
      <c r="F95" s="310"/>
      <c r="G95" s="176"/>
    </row>
    <row r="96" spans="1:7" s="50" customFormat="1" ht="25" customHeight="1" x14ac:dyDescent="0.35">
      <c r="A96" s="169" t="str">
        <f>IF('A-KPA Review'!N94="YES","Print","-----")</f>
        <v>-----</v>
      </c>
      <c r="B96" s="174"/>
      <c r="C96" s="51">
        <f>'A-KPA Review'!C94</f>
        <v>2</v>
      </c>
      <c r="D96" s="170">
        <f>'A-KPA Review'!D94</f>
        <v>0</v>
      </c>
      <c r="E96" s="303">
        <f>'A-KPA Review'!M94</f>
        <v>0</v>
      </c>
      <c r="F96" s="304"/>
      <c r="G96" s="176"/>
    </row>
    <row r="97" spans="1:7" s="50" customFormat="1" ht="25" customHeight="1" x14ac:dyDescent="0.35">
      <c r="A97" s="169" t="str">
        <f>IF('A-KPA Review'!N95="YES","Print","-----")</f>
        <v>-----</v>
      </c>
      <c r="B97" s="174"/>
      <c r="C97" s="51">
        <f>'A-KPA Review'!C95</f>
        <v>3</v>
      </c>
      <c r="D97" s="170">
        <f>'A-KPA Review'!D95</f>
        <v>0</v>
      </c>
      <c r="E97" s="303">
        <f>'A-KPA Review'!M95</f>
        <v>0</v>
      </c>
      <c r="F97" s="304"/>
      <c r="G97" s="176"/>
    </row>
    <row r="98" spans="1:7" s="50" customFormat="1" ht="25" customHeight="1" x14ac:dyDescent="0.35">
      <c r="A98" s="169" t="str">
        <f>IF('A-KPA Review'!N96="YES","Print","-----")</f>
        <v>-----</v>
      </c>
      <c r="B98" s="174"/>
      <c r="C98" s="51">
        <f>'A-KPA Review'!C96</f>
        <v>4</v>
      </c>
      <c r="D98" s="170">
        <f>'A-KPA Review'!D96</f>
        <v>0</v>
      </c>
      <c r="E98" s="303">
        <f>'A-KPA Review'!M96</f>
        <v>0</v>
      </c>
      <c r="F98" s="304"/>
      <c r="G98" s="176"/>
    </row>
    <row r="99" spans="1:7" s="50" customFormat="1" ht="25" customHeight="1" x14ac:dyDescent="0.35">
      <c r="A99" s="169" t="str">
        <f>IF('A-KPA Review'!N97="YES","Print","-----")</f>
        <v>-----</v>
      </c>
      <c r="B99" s="174"/>
      <c r="C99" s="51">
        <f>'A-KPA Review'!C97</f>
        <v>5</v>
      </c>
      <c r="D99" s="170">
        <f>'A-KPA Review'!D97</f>
        <v>0</v>
      </c>
      <c r="E99" s="303">
        <f>'A-KPA Review'!M97</f>
        <v>0</v>
      </c>
      <c r="F99" s="304"/>
      <c r="G99" s="176"/>
    </row>
    <row r="100" spans="1:7" s="50" customFormat="1" ht="25" customHeight="1" x14ac:dyDescent="0.35">
      <c r="A100" s="169" t="str">
        <f>IF('A-KPA Review'!N98="YES","Print","-----")</f>
        <v>-----</v>
      </c>
      <c r="B100" s="174"/>
      <c r="C100" s="51">
        <f>'A-KPA Review'!C98</f>
        <v>6</v>
      </c>
      <c r="D100" s="170">
        <f>'A-KPA Review'!D98</f>
        <v>0</v>
      </c>
      <c r="E100" s="303">
        <f>'A-KPA Review'!M98</f>
        <v>0</v>
      </c>
      <c r="F100" s="304"/>
      <c r="G100" s="176"/>
    </row>
    <row r="101" spans="1:7" s="50" customFormat="1" ht="25" customHeight="1" x14ac:dyDescent="0.35">
      <c r="A101" s="169" t="str">
        <f>IF('A-KPA Review'!N99="YES","Print","-----")</f>
        <v>-----</v>
      </c>
      <c r="B101" s="174"/>
      <c r="C101" s="51">
        <f>'A-KPA Review'!C99</f>
        <v>7</v>
      </c>
      <c r="D101" s="170">
        <f>'A-KPA Review'!D99</f>
        <v>0</v>
      </c>
      <c r="E101" s="303">
        <f>'A-KPA Review'!M99</f>
        <v>0</v>
      </c>
      <c r="F101" s="304"/>
      <c r="G101" s="176"/>
    </row>
    <row r="102" spans="1:7" s="50" customFormat="1" ht="25" customHeight="1" x14ac:dyDescent="0.35">
      <c r="A102" s="169" t="str">
        <f>IF('A-KPA Review'!N100="YES","Print","-----")</f>
        <v>-----</v>
      </c>
      <c r="B102" s="174"/>
      <c r="C102" s="51">
        <f>'A-KPA Review'!C100</f>
        <v>8</v>
      </c>
      <c r="D102" s="170">
        <f>'A-KPA Review'!D100</f>
        <v>0</v>
      </c>
      <c r="E102" s="303">
        <f>'A-KPA Review'!M100</f>
        <v>0</v>
      </c>
      <c r="F102" s="304"/>
      <c r="G102" s="176"/>
    </row>
    <row r="103" spans="1:7" s="50" customFormat="1" ht="25" customHeight="1" thickBot="1" x14ac:dyDescent="0.4">
      <c r="A103" s="169" t="str">
        <f>IF('A-KPA Review'!N101="YES","Print","-----")</f>
        <v>-----</v>
      </c>
      <c r="B103" s="174"/>
      <c r="C103" s="51">
        <f>'A-KPA Review'!C101</f>
        <v>9</v>
      </c>
      <c r="D103" s="170">
        <f>'A-KPA Review'!D101</f>
        <v>0</v>
      </c>
      <c r="E103" s="303">
        <f>'A-KPA Review'!M101</f>
        <v>0</v>
      </c>
      <c r="F103" s="304"/>
      <c r="G103" s="176"/>
    </row>
    <row r="104" spans="1:7" s="50" customFormat="1" ht="25" customHeight="1" thickTop="1" thickBot="1" x14ac:dyDescent="0.4">
      <c r="A104" s="194" t="s">
        <v>45</v>
      </c>
      <c r="B104" s="174"/>
      <c r="C104" s="51" t="s">
        <v>74</v>
      </c>
      <c r="D104" s="202"/>
      <c r="E104" s="299"/>
      <c r="F104" s="300"/>
      <c r="G104" s="176"/>
    </row>
    <row r="105" spans="1:7" s="50" customFormat="1" ht="25" customHeight="1" thickTop="1" thickBot="1" x14ac:dyDescent="0.4">
      <c r="A105" s="194" t="s">
        <v>45</v>
      </c>
      <c r="B105" s="174"/>
      <c r="C105" s="51" t="s">
        <v>74</v>
      </c>
      <c r="D105" s="202"/>
      <c r="E105" s="299"/>
      <c r="F105" s="300"/>
      <c r="G105" s="176"/>
    </row>
    <row r="106" spans="1:7" s="50" customFormat="1" ht="25" customHeight="1" thickTop="1" thickBot="1" x14ac:dyDescent="0.4">
      <c r="A106" s="194" t="s">
        <v>45</v>
      </c>
      <c r="B106" s="174"/>
      <c r="C106" s="51" t="s">
        <v>74</v>
      </c>
      <c r="D106" s="202"/>
      <c r="E106" s="299"/>
      <c r="F106" s="300"/>
      <c r="G106" s="176"/>
    </row>
    <row r="107" spans="1:7" s="2" customFormat="1" ht="12" customHeight="1" thickTop="1" thickBot="1" x14ac:dyDescent="0.4">
      <c r="A107" s="169" t="str">
        <f>A94</f>
        <v>-----</v>
      </c>
      <c r="B107" s="174"/>
      <c r="D107" s="52" t="s">
        <v>75</v>
      </c>
      <c r="F107" s="15"/>
      <c r="G107" s="176"/>
    </row>
    <row r="108" spans="1:7" s="18" customFormat="1" ht="30" customHeight="1" thickTop="1" thickBot="1" x14ac:dyDescent="0.4">
      <c r="A108" s="169" t="str">
        <f>IF('A-KPA Review'!N103="YES","Print","-----")</f>
        <v>-----</v>
      </c>
      <c r="B108" s="174"/>
      <c r="C108" s="16" t="str">
        <f>'A-KPA Review'!C103</f>
        <v>H</v>
      </c>
      <c r="D108" s="48" t="str">
        <f>'A-KPA Review'!D103</f>
        <v>ENTER KPA IN THIS CELL (and related indicators in the lines provided below)</v>
      </c>
      <c r="E108" s="307" t="str">
        <f>IF(COUNTIF('A-KPA Review'!J103:J113,'Factor Lookup'!$A$44)&lt;&gt;0,"Development Plan - Performance Indicators Requiring Attention","")</f>
        <v/>
      </c>
      <c r="F108" s="308"/>
      <c r="G108" s="176"/>
    </row>
    <row r="109" spans="1:7" s="50" customFormat="1" ht="25" customHeight="1" thickTop="1" x14ac:dyDescent="0.35">
      <c r="A109" s="169" t="str">
        <f>IF('A-KPA Review'!N104="YES","Print","-----")</f>
        <v>-----</v>
      </c>
      <c r="B109" s="174"/>
      <c r="C109" s="49">
        <f>'A-KPA Review'!C104</f>
        <v>1</v>
      </c>
      <c r="D109" s="264">
        <f>'A-KPA Review'!D104</f>
        <v>0</v>
      </c>
      <c r="E109" s="309">
        <f>'A-KPA Review'!M104</f>
        <v>0</v>
      </c>
      <c r="F109" s="310"/>
      <c r="G109" s="176"/>
    </row>
    <row r="110" spans="1:7" s="50" customFormat="1" ht="25" customHeight="1" x14ac:dyDescent="0.35">
      <c r="A110" s="169" t="str">
        <f>IF('A-KPA Review'!N105="YES","Print","-----")</f>
        <v>-----</v>
      </c>
      <c r="B110" s="174"/>
      <c r="C110" s="51">
        <f>'A-KPA Review'!C105</f>
        <v>2</v>
      </c>
      <c r="D110" s="170">
        <f>'A-KPA Review'!D105</f>
        <v>0</v>
      </c>
      <c r="E110" s="303">
        <f>'A-KPA Review'!M105</f>
        <v>0</v>
      </c>
      <c r="F110" s="304"/>
      <c r="G110" s="176"/>
    </row>
    <row r="111" spans="1:7" s="50" customFormat="1" ht="25" customHeight="1" x14ac:dyDescent="0.35">
      <c r="A111" s="169" t="str">
        <f>IF('A-KPA Review'!N106="YES","Print","-----")</f>
        <v>-----</v>
      </c>
      <c r="B111" s="174"/>
      <c r="C111" s="51">
        <f>'A-KPA Review'!C106</f>
        <v>3</v>
      </c>
      <c r="D111" s="170">
        <f>'A-KPA Review'!D106</f>
        <v>0</v>
      </c>
      <c r="E111" s="303">
        <f>'A-KPA Review'!M106</f>
        <v>0</v>
      </c>
      <c r="F111" s="304"/>
      <c r="G111" s="176"/>
    </row>
    <row r="112" spans="1:7" s="50" customFormat="1" ht="25" customHeight="1" x14ac:dyDescent="0.35">
      <c r="A112" s="169" t="str">
        <f>IF('A-KPA Review'!N107="YES","Print","-----")</f>
        <v>-----</v>
      </c>
      <c r="B112" s="174"/>
      <c r="C112" s="51">
        <f>'A-KPA Review'!C107</f>
        <v>4</v>
      </c>
      <c r="D112" s="170">
        <f>'A-KPA Review'!D107</f>
        <v>0</v>
      </c>
      <c r="E112" s="303">
        <f>'A-KPA Review'!M107</f>
        <v>0</v>
      </c>
      <c r="F112" s="304"/>
      <c r="G112" s="176"/>
    </row>
    <row r="113" spans="1:7" s="50" customFormat="1" ht="25" customHeight="1" x14ac:dyDescent="0.35">
      <c r="A113" s="169" t="str">
        <f>IF('A-KPA Review'!N108="YES","Print","-----")</f>
        <v>-----</v>
      </c>
      <c r="B113" s="174"/>
      <c r="C113" s="51">
        <f>'A-KPA Review'!C108</f>
        <v>5</v>
      </c>
      <c r="D113" s="170">
        <f>'A-KPA Review'!D108</f>
        <v>0</v>
      </c>
      <c r="E113" s="303">
        <f>'A-KPA Review'!M108</f>
        <v>0</v>
      </c>
      <c r="F113" s="304"/>
      <c r="G113" s="176"/>
    </row>
    <row r="114" spans="1:7" s="50" customFormat="1" ht="25" customHeight="1" x14ac:dyDescent="0.35">
      <c r="A114" s="169" t="str">
        <f>IF('A-KPA Review'!N109="YES","Print","-----")</f>
        <v>-----</v>
      </c>
      <c r="B114" s="174"/>
      <c r="C114" s="51">
        <f>'A-KPA Review'!C109</f>
        <v>6</v>
      </c>
      <c r="D114" s="170">
        <f>'A-KPA Review'!D109</f>
        <v>0</v>
      </c>
      <c r="E114" s="303">
        <f>'A-KPA Review'!M109</f>
        <v>0</v>
      </c>
      <c r="F114" s="304"/>
      <c r="G114" s="176"/>
    </row>
    <row r="115" spans="1:7" s="50" customFormat="1" ht="25" customHeight="1" x14ac:dyDescent="0.35">
      <c r="A115" s="169" t="str">
        <f>IF('A-KPA Review'!N110="YES","Print","-----")</f>
        <v>-----</v>
      </c>
      <c r="B115" s="174"/>
      <c r="C115" s="51">
        <f>'A-KPA Review'!C110</f>
        <v>7</v>
      </c>
      <c r="D115" s="170">
        <f>'A-KPA Review'!D110</f>
        <v>0</v>
      </c>
      <c r="E115" s="303">
        <f>'A-KPA Review'!M110</f>
        <v>0</v>
      </c>
      <c r="F115" s="304"/>
      <c r="G115" s="176"/>
    </row>
    <row r="116" spans="1:7" s="50" customFormat="1" ht="25" customHeight="1" x14ac:dyDescent="0.35">
      <c r="A116" s="169" t="str">
        <f>IF('A-KPA Review'!N111="YES","Print","-----")</f>
        <v>-----</v>
      </c>
      <c r="B116" s="174"/>
      <c r="C116" s="51">
        <f>'A-KPA Review'!C111</f>
        <v>8</v>
      </c>
      <c r="D116" s="170">
        <f>'A-KPA Review'!D111</f>
        <v>0</v>
      </c>
      <c r="E116" s="303">
        <f>'A-KPA Review'!M111</f>
        <v>0</v>
      </c>
      <c r="F116" s="304"/>
      <c r="G116" s="176"/>
    </row>
    <row r="117" spans="1:7" s="50" customFormat="1" ht="25" customHeight="1" thickBot="1" x14ac:dyDescent="0.4">
      <c r="A117" s="169" t="str">
        <f>IF('A-KPA Review'!N112="YES","Print","-----")</f>
        <v>-----</v>
      </c>
      <c r="B117" s="174"/>
      <c r="C117" s="51">
        <f>'A-KPA Review'!C112</f>
        <v>9</v>
      </c>
      <c r="D117" s="170">
        <f>'A-KPA Review'!D112</f>
        <v>0</v>
      </c>
      <c r="E117" s="303">
        <f>'A-KPA Review'!M112</f>
        <v>0</v>
      </c>
      <c r="F117" s="304"/>
      <c r="G117" s="176"/>
    </row>
    <row r="118" spans="1:7" s="50" customFormat="1" ht="25" customHeight="1" thickTop="1" thickBot="1" x14ac:dyDescent="0.4">
      <c r="A118" s="194" t="s">
        <v>45</v>
      </c>
      <c r="B118" s="174"/>
      <c r="C118" s="51" t="s">
        <v>74</v>
      </c>
      <c r="D118" s="202"/>
      <c r="E118" s="299"/>
      <c r="F118" s="300"/>
      <c r="G118" s="176"/>
    </row>
    <row r="119" spans="1:7" s="50" customFormat="1" ht="25" customHeight="1" thickTop="1" thickBot="1" x14ac:dyDescent="0.4">
      <c r="A119" s="194" t="s">
        <v>45</v>
      </c>
      <c r="B119" s="174"/>
      <c r="C119" s="51" t="s">
        <v>74</v>
      </c>
      <c r="D119" s="202"/>
      <c r="E119" s="299"/>
      <c r="F119" s="300"/>
      <c r="G119" s="176"/>
    </row>
    <row r="120" spans="1:7" s="50" customFormat="1" ht="25" customHeight="1" thickTop="1" thickBot="1" x14ac:dyDescent="0.4">
      <c r="A120" s="194" t="s">
        <v>45</v>
      </c>
      <c r="B120" s="174"/>
      <c r="C120" s="51" t="s">
        <v>74</v>
      </c>
      <c r="D120" s="202"/>
      <c r="E120" s="299"/>
      <c r="F120" s="300"/>
      <c r="G120" s="176"/>
    </row>
    <row r="121" spans="1:7" s="2" customFormat="1" ht="12" customHeight="1" thickTop="1" thickBot="1" x14ac:dyDescent="0.4">
      <c r="A121" s="169" t="str">
        <f>A108</f>
        <v>-----</v>
      </c>
      <c r="B121" s="174"/>
      <c r="D121" s="52" t="s">
        <v>75</v>
      </c>
      <c r="F121" s="15"/>
      <c r="G121" s="176"/>
    </row>
    <row r="122" spans="1:7" s="18" customFormat="1" ht="30" customHeight="1" thickTop="1" thickBot="1" x14ac:dyDescent="0.4">
      <c r="A122" s="169" t="str">
        <f>IF('A-KPA Review'!N114="YES","Print","-----")</f>
        <v>-----</v>
      </c>
      <c r="B122" s="174"/>
      <c r="C122" s="16" t="str">
        <f>'A-KPA Review'!C114</f>
        <v>I</v>
      </c>
      <c r="D122" s="48" t="str">
        <f>'A-KPA Review'!D114</f>
        <v>ENTER KPA IN THIS CELL (and related indicators in the lines provided below)</v>
      </c>
      <c r="E122" s="307" t="str">
        <f>IF(COUNTIF('A-KPA Review'!J114:J124,'Factor Lookup'!$A$44)&lt;&gt;0,"Development Plan - Performance Indicators Requiring Attention","")</f>
        <v/>
      </c>
      <c r="F122" s="308"/>
      <c r="G122" s="176"/>
    </row>
    <row r="123" spans="1:7" s="50" customFormat="1" ht="25" customHeight="1" thickTop="1" x14ac:dyDescent="0.35">
      <c r="A123" s="169" t="str">
        <f>IF('A-KPA Review'!N115="YES","Print","-----")</f>
        <v>-----</v>
      </c>
      <c r="B123" s="174"/>
      <c r="C123" s="49">
        <f>'A-KPA Review'!C115</f>
        <v>1</v>
      </c>
      <c r="D123" s="264">
        <f>'A-KPA Review'!D115</f>
        <v>0</v>
      </c>
      <c r="E123" s="309">
        <f>'A-KPA Review'!M115</f>
        <v>0</v>
      </c>
      <c r="F123" s="310"/>
      <c r="G123" s="176"/>
    </row>
    <row r="124" spans="1:7" s="50" customFormat="1" ht="25" customHeight="1" x14ac:dyDescent="0.35">
      <c r="A124" s="169" t="str">
        <f>IF('A-KPA Review'!N116="YES","Print","-----")</f>
        <v>-----</v>
      </c>
      <c r="B124" s="174"/>
      <c r="C124" s="51">
        <f>'A-KPA Review'!C116</f>
        <v>2</v>
      </c>
      <c r="D124" s="170">
        <f>'A-KPA Review'!D116</f>
        <v>0</v>
      </c>
      <c r="E124" s="303">
        <f>'A-KPA Review'!M116</f>
        <v>0</v>
      </c>
      <c r="F124" s="304"/>
      <c r="G124" s="176"/>
    </row>
    <row r="125" spans="1:7" s="50" customFormat="1" ht="25" customHeight="1" x14ac:dyDescent="0.35">
      <c r="A125" s="169" t="str">
        <f>IF('A-KPA Review'!N117="YES","Print","-----")</f>
        <v>-----</v>
      </c>
      <c r="B125" s="174"/>
      <c r="C125" s="51">
        <f>'A-KPA Review'!C117</f>
        <v>3</v>
      </c>
      <c r="D125" s="170">
        <f>'A-KPA Review'!D117</f>
        <v>0</v>
      </c>
      <c r="E125" s="303">
        <f>'A-KPA Review'!M117</f>
        <v>0</v>
      </c>
      <c r="F125" s="304"/>
      <c r="G125" s="176"/>
    </row>
    <row r="126" spans="1:7" s="50" customFormat="1" ht="25" customHeight="1" x14ac:dyDescent="0.35">
      <c r="A126" s="169" t="str">
        <f>IF('A-KPA Review'!N118="YES","Print","-----")</f>
        <v>-----</v>
      </c>
      <c r="B126" s="174"/>
      <c r="C126" s="51">
        <f>'A-KPA Review'!C118</f>
        <v>4</v>
      </c>
      <c r="D126" s="170">
        <f>'A-KPA Review'!D118</f>
        <v>0</v>
      </c>
      <c r="E126" s="303">
        <f>'A-KPA Review'!M118</f>
        <v>0</v>
      </c>
      <c r="F126" s="304"/>
      <c r="G126" s="176"/>
    </row>
    <row r="127" spans="1:7" s="50" customFormat="1" ht="25" customHeight="1" x14ac:dyDescent="0.35">
      <c r="A127" s="169" t="str">
        <f>IF('A-KPA Review'!N119="YES","Print","-----")</f>
        <v>-----</v>
      </c>
      <c r="B127" s="174"/>
      <c r="C127" s="51">
        <f>'A-KPA Review'!C119</f>
        <v>5</v>
      </c>
      <c r="D127" s="170">
        <f>'A-KPA Review'!D119</f>
        <v>0</v>
      </c>
      <c r="E127" s="303">
        <f>'A-KPA Review'!M119</f>
        <v>0</v>
      </c>
      <c r="F127" s="304"/>
      <c r="G127" s="176"/>
    </row>
    <row r="128" spans="1:7" s="50" customFormat="1" ht="25" customHeight="1" x14ac:dyDescent="0.35">
      <c r="A128" s="169" t="str">
        <f>IF('A-KPA Review'!N120="YES","Print","-----")</f>
        <v>-----</v>
      </c>
      <c r="B128" s="174"/>
      <c r="C128" s="51">
        <f>'A-KPA Review'!C120</f>
        <v>6</v>
      </c>
      <c r="D128" s="170">
        <f>'A-KPA Review'!D120</f>
        <v>0</v>
      </c>
      <c r="E128" s="303">
        <f>'A-KPA Review'!M120</f>
        <v>0</v>
      </c>
      <c r="F128" s="304"/>
      <c r="G128" s="176"/>
    </row>
    <row r="129" spans="1:7" s="50" customFormat="1" ht="25" customHeight="1" x14ac:dyDescent="0.35">
      <c r="A129" s="169" t="str">
        <f>IF('A-KPA Review'!N121="YES","Print","-----")</f>
        <v>-----</v>
      </c>
      <c r="B129" s="174"/>
      <c r="C129" s="51">
        <f>'A-KPA Review'!C121</f>
        <v>7</v>
      </c>
      <c r="D129" s="170">
        <f>'A-KPA Review'!D121</f>
        <v>0</v>
      </c>
      <c r="E129" s="303">
        <f>'A-KPA Review'!M121</f>
        <v>0</v>
      </c>
      <c r="F129" s="304"/>
      <c r="G129" s="176"/>
    </row>
    <row r="130" spans="1:7" s="50" customFormat="1" ht="25" customHeight="1" x14ac:dyDescent="0.35">
      <c r="A130" s="169" t="str">
        <f>IF('A-KPA Review'!N122="YES","Print","-----")</f>
        <v>-----</v>
      </c>
      <c r="B130" s="174"/>
      <c r="C130" s="51">
        <f>'A-KPA Review'!C122</f>
        <v>8</v>
      </c>
      <c r="D130" s="170">
        <f>'A-KPA Review'!D122</f>
        <v>0</v>
      </c>
      <c r="E130" s="303">
        <f>'A-KPA Review'!M122</f>
        <v>0</v>
      </c>
      <c r="F130" s="304"/>
      <c r="G130" s="176"/>
    </row>
    <row r="131" spans="1:7" s="50" customFormat="1" ht="25" customHeight="1" thickBot="1" x14ac:dyDescent="0.4">
      <c r="A131" s="169" t="str">
        <f>IF('A-KPA Review'!N123="YES","Print","-----")</f>
        <v>-----</v>
      </c>
      <c r="B131" s="174"/>
      <c r="C131" s="51">
        <f>'A-KPA Review'!C123</f>
        <v>9</v>
      </c>
      <c r="D131" s="170">
        <f>'A-KPA Review'!D123</f>
        <v>0</v>
      </c>
      <c r="E131" s="303">
        <f>'A-KPA Review'!M123</f>
        <v>0</v>
      </c>
      <c r="F131" s="304"/>
      <c r="G131" s="176"/>
    </row>
    <row r="132" spans="1:7" s="50" customFormat="1" ht="25" customHeight="1" thickTop="1" thickBot="1" x14ac:dyDescent="0.4">
      <c r="A132" s="194" t="s">
        <v>45</v>
      </c>
      <c r="B132" s="174"/>
      <c r="C132" s="51" t="s">
        <v>74</v>
      </c>
      <c r="D132" s="202"/>
      <c r="E132" s="299"/>
      <c r="F132" s="300"/>
      <c r="G132" s="176"/>
    </row>
    <row r="133" spans="1:7" s="50" customFormat="1" ht="25" customHeight="1" thickTop="1" thickBot="1" x14ac:dyDescent="0.4">
      <c r="A133" s="194" t="s">
        <v>45</v>
      </c>
      <c r="B133" s="174"/>
      <c r="C133" s="51" t="s">
        <v>74</v>
      </c>
      <c r="D133" s="202"/>
      <c r="E133" s="299"/>
      <c r="F133" s="300"/>
      <c r="G133" s="176"/>
    </row>
    <row r="134" spans="1:7" s="50" customFormat="1" ht="25" customHeight="1" thickTop="1" thickBot="1" x14ac:dyDescent="0.4">
      <c r="A134" s="194" t="s">
        <v>45</v>
      </c>
      <c r="B134" s="174"/>
      <c r="C134" s="51" t="s">
        <v>74</v>
      </c>
      <c r="D134" s="202"/>
      <c r="E134" s="299"/>
      <c r="F134" s="300"/>
      <c r="G134" s="176"/>
    </row>
    <row r="135" spans="1:7" s="2" customFormat="1" ht="12" customHeight="1" thickTop="1" thickBot="1" x14ac:dyDescent="0.4">
      <c r="A135" s="169" t="str">
        <f>A122</f>
        <v>-----</v>
      </c>
      <c r="B135" s="174"/>
      <c r="D135" s="52" t="s">
        <v>75</v>
      </c>
      <c r="F135" s="15"/>
      <c r="G135" s="176"/>
    </row>
    <row r="136" spans="1:7" s="18" customFormat="1" ht="30" customHeight="1" thickTop="1" thickBot="1" x14ac:dyDescent="0.4">
      <c r="A136" s="169" t="str">
        <f>IF('A-KPA Review'!N125="YES","Print","-----")</f>
        <v>-----</v>
      </c>
      <c r="B136" s="174"/>
      <c r="C136" s="16" t="str">
        <f>'A-KPA Review'!C125</f>
        <v>J</v>
      </c>
      <c r="D136" s="48" t="str">
        <f>'A-KPA Review'!D125</f>
        <v>ENTER KPA IN THIS CELL (and related indicators in the lines provided below)</v>
      </c>
      <c r="E136" s="307" t="str">
        <f>IF(COUNTIF('A-KPA Review'!J125:J135,'Factor Lookup'!$A$44)&lt;&gt;0,"Development Plan - Performance Indicators Requiring Attention","")</f>
        <v/>
      </c>
      <c r="F136" s="308"/>
      <c r="G136" s="176"/>
    </row>
    <row r="137" spans="1:7" s="50" customFormat="1" ht="25" customHeight="1" thickTop="1" x14ac:dyDescent="0.35">
      <c r="A137" s="169" t="str">
        <f>IF('A-KPA Review'!N126="YES","Print","-----")</f>
        <v>-----</v>
      </c>
      <c r="B137" s="174"/>
      <c r="C137" s="49">
        <f>'A-KPA Review'!C126</f>
        <v>1</v>
      </c>
      <c r="D137" s="264">
        <f>'A-KPA Review'!D126</f>
        <v>0</v>
      </c>
      <c r="E137" s="309">
        <f>'A-KPA Review'!M126</f>
        <v>0</v>
      </c>
      <c r="F137" s="310"/>
      <c r="G137" s="176"/>
    </row>
    <row r="138" spans="1:7" s="50" customFormat="1" ht="25" customHeight="1" x14ac:dyDescent="0.35">
      <c r="A138" s="169" t="str">
        <f>IF('A-KPA Review'!N127="YES","Print","-----")</f>
        <v>-----</v>
      </c>
      <c r="B138" s="174"/>
      <c r="C138" s="51">
        <f>'A-KPA Review'!C127</f>
        <v>2</v>
      </c>
      <c r="D138" s="170">
        <f>'A-KPA Review'!D127</f>
        <v>0</v>
      </c>
      <c r="E138" s="303">
        <f>'A-KPA Review'!M127</f>
        <v>0</v>
      </c>
      <c r="F138" s="304"/>
      <c r="G138" s="176"/>
    </row>
    <row r="139" spans="1:7" s="50" customFormat="1" ht="25" customHeight="1" x14ac:dyDescent="0.35">
      <c r="A139" s="169" t="str">
        <f>IF('A-KPA Review'!N128="YES","Print","-----")</f>
        <v>-----</v>
      </c>
      <c r="B139" s="174"/>
      <c r="C139" s="51">
        <f>'A-KPA Review'!C128</f>
        <v>3</v>
      </c>
      <c r="D139" s="170">
        <f>'A-KPA Review'!D128</f>
        <v>0</v>
      </c>
      <c r="E139" s="303">
        <f>'A-KPA Review'!M128</f>
        <v>0</v>
      </c>
      <c r="F139" s="304"/>
      <c r="G139" s="176"/>
    </row>
    <row r="140" spans="1:7" s="50" customFormat="1" ht="25" customHeight="1" x14ac:dyDescent="0.35">
      <c r="A140" s="169" t="str">
        <f>IF('A-KPA Review'!N129="YES","Print","-----")</f>
        <v>-----</v>
      </c>
      <c r="B140" s="174"/>
      <c r="C140" s="51">
        <f>'A-KPA Review'!C129</f>
        <v>4</v>
      </c>
      <c r="D140" s="170">
        <f>'A-KPA Review'!D129</f>
        <v>0</v>
      </c>
      <c r="E140" s="303">
        <f>'A-KPA Review'!M129</f>
        <v>0</v>
      </c>
      <c r="F140" s="304"/>
      <c r="G140" s="176"/>
    </row>
    <row r="141" spans="1:7" s="50" customFormat="1" ht="25" customHeight="1" x14ac:dyDescent="0.35">
      <c r="A141" s="169" t="str">
        <f>IF('A-KPA Review'!N130="YES","Print","-----")</f>
        <v>-----</v>
      </c>
      <c r="B141" s="174"/>
      <c r="C141" s="51">
        <f>'A-KPA Review'!C130</f>
        <v>5</v>
      </c>
      <c r="D141" s="170">
        <f>'A-KPA Review'!D130</f>
        <v>0</v>
      </c>
      <c r="E141" s="303">
        <f>'A-KPA Review'!M130</f>
        <v>0</v>
      </c>
      <c r="F141" s="304"/>
      <c r="G141" s="176"/>
    </row>
    <row r="142" spans="1:7" s="50" customFormat="1" ht="25" customHeight="1" x14ac:dyDescent="0.35">
      <c r="A142" s="169" t="str">
        <f>IF('A-KPA Review'!N131="YES","Print","-----")</f>
        <v>-----</v>
      </c>
      <c r="B142" s="174"/>
      <c r="C142" s="51">
        <f>'A-KPA Review'!C131</f>
        <v>6</v>
      </c>
      <c r="D142" s="170">
        <f>'A-KPA Review'!D131</f>
        <v>0</v>
      </c>
      <c r="E142" s="303">
        <f>'A-KPA Review'!M131</f>
        <v>0</v>
      </c>
      <c r="F142" s="304"/>
      <c r="G142" s="176"/>
    </row>
    <row r="143" spans="1:7" s="50" customFormat="1" ht="25" customHeight="1" x14ac:dyDescent="0.35">
      <c r="A143" s="169" t="str">
        <f>IF('A-KPA Review'!N132="YES","Print","-----")</f>
        <v>-----</v>
      </c>
      <c r="B143" s="174"/>
      <c r="C143" s="51">
        <f>'A-KPA Review'!C132</f>
        <v>7</v>
      </c>
      <c r="D143" s="170">
        <f>'A-KPA Review'!D132</f>
        <v>0</v>
      </c>
      <c r="E143" s="303">
        <f>'A-KPA Review'!M132</f>
        <v>0</v>
      </c>
      <c r="F143" s="304"/>
      <c r="G143" s="176"/>
    </row>
    <row r="144" spans="1:7" s="50" customFormat="1" ht="25" customHeight="1" x14ac:dyDescent="0.35">
      <c r="A144" s="169" t="str">
        <f>IF('A-KPA Review'!N133="YES","Print","-----")</f>
        <v>-----</v>
      </c>
      <c r="B144" s="174"/>
      <c r="C144" s="51">
        <f>'A-KPA Review'!C133</f>
        <v>8</v>
      </c>
      <c r="D144" s="170">
        <f>'A-KPA Review'!D133</f>
        <v>0</v>
      </c>
      <c r="E144" s="303">
        <f>'A-KPA Review'!M133</f>
        <v>0</v>
      </c>
      <c r="F144" s="304"/>
      <c r="G144" s="176"/>
    </row>
    <row r="145" spans="1:9" s="50" customFormat="1" ht="25" customHeight="1" thickBot="1" x14ac:dyDescent="0.4">
      <c r="A145" s="169" t="str">
        <f>IF('A-KPA Review'!N134="YES","Print","-----")</f>
        <v>-----</v>
      </c>
      <c r="B145" s="174"/>
      <c r="C145" s="51">
        <f>'A-KPA Review'!C134</f>
        <v>9</v>
      </c>
      <c r="D145" s="170">
        <f>'A-KPA Review'!D134</f>
        <v>0</v>
      </c>
      <c r="E145" s="303">
        <f>'A-KPA Review'!M134</f>
        <v>0</v>
      </c>
      <c r="F145" s="304"/>
      <c r="G145" s="176"/>
    </row>
    <row r="146" spans="1:9" s="50" customFormat="1" ht="25" customHeight="1" thickTop="1" thickBot="1" x14ac:dyDescent="0.4">
      <c r="A146" s="194" t="s">
        <v>45</v>
      </c>
      <c r="B146" s="174"/>
      <c r="C146" s="51" t="s">
        <v>74</v>
      </c>
      <c r="D146" s="202"/>
      <c r="E146" s="299"/>
      <c r="F146" s="300"/>
      <c r="G146" s="176"/>
    </row>
    <row r="147" spans="1:9" s="50" customFormat="1" ht="25" customHeight="1" thickTop="1" thickBot="1" x14ac:dyDescent="0.4">
      <c r="A147" s="194" t="s">
        <v>45</v>
      </c>
      <c r="B147" s="174"/>
      <c r="C147" s="51" t="s">
        <v>74</v>
      </c>
      <c r="D147" s="202"/>
      <c r="E147" s="299"/>
      <c r="F147" s="300"/>
      <c r="G147" s="176"/>
    </row>
    <row r="148" spans="1:9" s="50" customFormat="1" ht="25" customHeight="1" thickTop="1" thickBot="1" x14ac:dyDescent="0.4">
      <c r="A148" s="194" t="s">
        <v>45</v>
      </c>
      <c r="B148" s="174"/>
      <c r="C148" s="51" t="s">
        <v>74</v>
      </c>
      <c r="D148" s="202"/>
      <c r="E148" s="299"/>
      <c r="F148" s="300"/>
      <c r="G148" s="176"/>
    </row>
    <row r="149" spans="1:9" s="2" customFormat="1" ht="12" customHeight="1" thickTop="1" x14ac:dyDescent="0.35">
      <c r="A149" s="169" t="str">
        <f>A136</f>
        <v>-----</v>
      </c>
      <c r="B149" s="174"/>
      <c r="D149" s="52" t="s">
        <v>75</v>
      </c>
      <c r="F149" s="15"/>
      <c r="G149" s="176"/>
    </row>
    <row r="150" spans="1:9" ht="10" customHeight="1" x14ac:dyDescent="0.35">
      <c r="A150" s="169" t="s">
        <v>39</v>
      </c>
      <c r="B150" s="174"/>
      <c r="C150" s="53"/>
      <c r="D150" s="54"/>
      <c r="E150" s="53"/>
      <c r="F150" s="53"/>
      <c r="G150" s="175"/>
    </row>
    <row r="151" spans="1:9" ht="10" customHeight="1" thickBot="1" x14ac:dyDescent="0.4">
      <c r="A151" s="169" t="str">
        <f>A152</f>
        <v>-----</v>
      </c>
      <c r="B151" s="174"/>
      <c r="D151" s="55"/>
      <c r="F151" s="44"/>
      <c r="G151" s="175"/>
    </row>
    <row r="152" spans="1:9" ht="25" customHeight="1" thickTop="1" thickBot="1" x14ac:dyDescent="0.4">
      <c r="A152" s="194" t="s">
        <v>45</v>
      </c>
      <c r="B152" s="174"/>
      <c r="C152" s="12" t="s">
        <v>76</v>
      </c>
      <c r="D152" s="56"/>
      <c r="E152" s="211"/>
      <c r="F152" s="212"/>
      <c r="G152" s="176"/>
      <c r="H152" s="199" t="str">
        <f>H154</f>
        <v/>
      </c>
    </row>
    <row r="153" spans="1:9" ht="10" customHeight="1" thickTop="1" thickBot="1" x14ac:dyDescent="0.4">
      <c r="A153" s="169" t="str">
        <f>A152</f>
        <v>-----</v>
      </c>
      <c r="B153" s="174"/>
      <c r="D153" s="55"/>
      <c r="F153" s="44"/>
      <c r="G153" s="176"/>
      <c r="H153" s="199"/>
    </row>
    <row r="154" spans="1:9" s="18" customFormat="1" ht="30" customHeight="1" thickTop="1" thickBot="1" x14ac:dyDescent="0.4">
      <c r="A154" s="194" t="s">
        <v>45</v>
      </c>
      <c r="B154" s="174"/>
      <c r="C154" s="16" t="s">
        <v>77</v>
      </c>
      <c r="D154" s="207" t="s">
        <v>41</v>
      </c>
      <c r="E154" s="311"/>
      <c r="F154" s="312"/>
      <c r="G154" s="176"/>
      <c r="H154" s="199" t="str">
        <f>IF(('D-Summary'!F17-'Factor Lookup'!A60)&gt;0,"Due to the high performance score assign at least one additional KPA to Employee","")</f>
        <v/>
      </c>
      <c r="I154" s="24"/>
    </row>
    <row r="155" spans="1:9" s="50" customFormat="1" ht="25" customHeight="1" thickTop="1" thickBot="1" x14ac:dyDescent="0.4">
      <c r="A155" s="194" t="s">
        <v>45</v>
      </c>
      <c r="B155" s="174"/>
      <c r="C155" s="49">
        <v>1</v>
      </c>
      <c r="D155" s="203"/>
      <c r="E155" s="301"/>
      <c r="F155" s="302"/>
      <c r="G155" s="176"/>
      <c r="H155" s="199" t="str">
        <f>H154</f>
        <v/>
      </c>
      <c r="I155" s="24"/>
    </row>
    <row r="156" spans="1:9" s="50" customFormat="1" ht="25" customHeight="1" thickTop="1" thickBot="1" x14ac:dyDescent="0.4">
      <c r="A156" s="194" t="s">
        <v>45</v>
      </c>
      <c r="B156" s="174"/>
      <c r="C156" s="51">
        <v>2</v>
      </c>
      <c r="D156" s="202"/>
      <c r="E156" s="299"/>
      <c r="F156" s="300"/>
      <c r="G156" s="176"/>
      <c r="I156" s="24"/>
    </row>
    <row r="157" spans="1:9" s="50" customFormat="1" ht="25" customHeight="1" thickTop="1" thickBot="1" x14ac:dyDescent="0.4">
      <c r="A157" s="194" t="s">
        <v>45</v>
      </c>
      <c r="B157" s="174"/>
      <c r="C157" s="51">
        <v>3</v>
      </c>
      <c r="D157" s="202"/>
      <c r="E157" s="299"/>
      <c r="F157" s="300"/>
      <c r="G157" s="176"/>
    </row>
    <row r="158" spans="1:9" s="50" customFormat="1" ht="25" customHeight="1" thickTop="1" thickBot="1" x14ac:dyDescent="0.4">
      <c r="A158" s="194" t="s">
        <v>45</v>
      </c>
      <c r="B158" s="174"/>
      <c r="C158" s="51">
        <v>4</v>
      </c>
      <c r="D158" s="202"/>
      <c r="E158" s="299"/>
      <c r="F158" s="300"/>
      <c r="G158" s="176"/>
    </row>
    <row r="159" spans="1:9" s="50" customFormat="1" ht="25" customHeight="1" thickTop="1" thickBot="1" x14ac:dyDescent="0.4">
      <c r="A159" s="194" t="s">
        <v>45</v>
      </c>
      <c r="B159" s="174"/>
      <c r="C159" s="51">
        <v>5</v>
      </c>
      <c r="D159" s="202"/>
      <c r="E159" s="299"/>
      <c r="F159" s="300"/>
      <c r="G159" s="176"/>
    </row>
    <row r="160" spans="1:9" s="50" customFormat="1" ht="25" customHeight="1" thickTop="1" thickBot="1" x14ac:dyDescent="0.4">
      <c r="A160" s="194" t="s">
        <v>45</v>
      </c>
      <c r="B160" s="174"/>
      <c r="C160" s="51">
        <v>6</v>
      </c>
      <c r="D160" s="202"/>
      <c r="E160" s="299"/>
      <c r="F160" s="300"/>
      <c r="G160" s="176"/>
    </row>
    <row r="161" spans="1:9" s="50" customFormat="1" ht="25" customHeight="1" thickTop="1" thickBot="1" x14ac:dyDescent="0.4">
      <c r="A161" s="194" t="s">
        <v>45</v>
      </c>
      <c r="B161" s="174"/>
      <c r="C161" s="51">
        <v>7</v>
      </c>
      <c r="D161" s="202"/>
      <c r="E161" s="299"/>
      <c r="F161" s="300"/>
      <c r="G161" s="176"/>
    </row>
    <row r="162" spans="1:9" s="50" customFormat="1" ht="25" customHeight="1" thickTop="1" thickBot="1" x14ac:dyDescent="0.4">
      <c r="A162" s="194" t="s">
        <v>45</v>
      </c>
      <c r="B162" s="174"/>
      <c r="C162" s="51">
        <v>8</v>
      </c>
      <c r="D162" s="202"/>
      <c r="E162" s="299"/>
      <c r="F162" s="300"/>
      <c r="G162" s="176"/>
    </row>
    <row r="163" spans="1:9" s="50" customFormat="1" ht="25" customHeight="1" thickTop="1" thickBot="1" x14ac:dyDescent="0.4">
      <c r="A163" s="194" t="s">
        <v>45</v>
      </c>
      <c r="B163" s="174"/>
      <c r="C163" s="51">
        <v>9</v>
      </c>
      <c r="D163" s="202"/>
      <c r="E163" s="299"/>
      <c r="F163" s="300"/>
      <c r="G163" s="176"/>
    </row>
    <row r="164" spans="1:9" s="2" customFormat="1" ht="12" customHeight="1" thickTop="1" thickBot="1" x14ac:dyDescent="0.4">
      <c r="A164" s="169" t="str">
        <f>A154</f>
        <v>-----</v>
      </c>
      <c r="B164" s="174"/>
      <c r="D164" s="52"/>
      <c r="F164" s="15"/>
      <c r="G164" s="176"/>
    </row>
    <row r="165" spans="1:9" s="18" customFormat="1" ht="30" customHeight="1" thickTop="1" thickBot="1" x14ac:dyDescent="0.4">
      <c r="A165" s="194" t="s">
        <v>45</v>
      </c>
      <c r="B165" s="174"/>
      <c r="C165" s="16" t="s">
        <v>78</v>
      </c>
      <c r="D165" s="207" t="s">
        <v>41</v>
      </c>
      <c r="E165" s="311"/>
      <c r="F165" s="312"/>
      <c r="G165" s="176"/>
      <c r="H165" s="199"/>
      <c r="I165" s="24"/>
    </row>
    <row r="166" spans="1:9" s="50" customFormat="1" ht="25" customHeight="1" thickTop="1" thickBot="1" x14ac:dyDescent="0.4">
      <c r="A166" s="194" t="s">
        <v>45</v>
      </c>
      <c r="B166" s="174"/>
      <c r="C166" s="49">
        <v>1</v>
      </c>
      <c r="D166" s="203"/>
      <c r="E166" s="301"/>
      <c r="F166" s="302"/>
      <c r="G166" s="176"/>
      <c r="H166" s="199"/>
      <c r="I166" s="24"/>
    </row>
    <row r="167" spans="1:9" s="50" customFormat="1" ht="25" customHeight="1" thickTop="1" thickBot="1" x14ac:dyDescent="0.4">
      <c r="A167" s="194" t="s">
        <v>45</v>
      </c>
      <c r="B167" s="174"/>
      <c r="C167" s="51">
        <v>2</v>
      </c>
      <c r="D167" s="202"/>
      <c r="E167" s="299"/>
      <c r="F167" s="300"/>
      <c r="G167" s="176"/>
      <c r="I167" s="24"/>
    </row>
    <row r="168" spans="1:9" s="50" customFormat="1" ht="25" customHeight="1" thickTop="1" thickBot="1" x14ac:dyDescent="0.4">
      <c r="A168" s="194" t="s">
        <v>45</v>
      </c>
      <c r="B168" s="174"/>
      <c r="C168" s="51">
        <v>3</v>
      </c>
      <c r="D168" s="202"/>
      <c r="E168" s="299"/>
      <c r="F168" s="300"/>
      <c r="G168" s="176"/>
    </row>
    <row r="169" spans="1:9" s="50" customFormat="1" ht="25" customHeight="1" thickTop="1" thickBot="1" x14ac:dyDescent="0.4">
      <c r="A169" s="194" t="s">
        <v>45</v>
      </c>
      <c r="B169" s="174"/>
      <c r="C169" s="51">
        <v>4</v>
      </c>
      <c r="D169" s="202"/>
      <c r="E169" s="299"/>
      <c r="F169" s="300"/>
      <c r="G169" s="176"/>
    </row>
    <row r="170" spans="1:9" s="50" customFormat="1" ht="25" customHeight="1" thickTop="1" thickBot="1" x14ac:dyDescent="0.4">
      <c r="A170" s="194" t="s">
        <v>45</v>
      </c>
      <c r="B170" s="174"/>
      <c r="C170" s="51">
        <v>5</v>
      </c>
      <c r="D170" s="202"/>
      <c r="E170" s="299"/>
      <c r="F170" s="300"/>
      <c r="G170" s="176"/>
    </row>
    <row r="171" spans="1:9" s="50" customFormat="1" ht="25" customHeight="1" thickTop="1" thickBot="1" x14ac:dyDescent="0.4">
      <c r="A171" s="194" t="s">
        <v>45</v>
      </c>
      <c r="B171" s="174"/>
      <c r="C171" s="51">
        <v>6</v>
      </c>
      <c r="D171" s="202"/>
      <c r="E171" s="299"/>
      <c r="F171" s="300"/>
      <c r="G171" s="176"/>
    </row>
    <row r="172" spans="1:9" s="50" customFormat="1" ht="25" customHeight="1" thickTop="1" thickBot="1" x14ac:dyDescent="0.4">
      <c r="A172" s="194" t="s">
        <v>45</v>
      </c>
      <c r="B172" s="174"/>
      <c r="C172" s="51">
        <v>7</v>
      </c>
      <c r="D172" s="202"/>
      <c r="E172" s="299"/>
      <c r="F172" s="300"/>
      <c r="G172" s="176"/>
    </row>
    <row r="173" spans="1:9" s="50" customFormat="1" ht="25" customHeight="1" thickTop="1" thickBot="1" x14ac:dyDescent="0.4">
      <c r="A173" s="194" t="s">
        <v>45</v>
      </c>
      <c r="B173" s="174"/>
      <c r="C173" s="51">
        <v>8</v>
      </c>
      <c r="D173" s="202"/>
      <c r="E173" s="299"/>
      <c r="F173" s="300"/>
      <c r="G173" s="176"/>
    </row>
    <row r="174" spans="1:9" s="50" customFormat="1" ht="25" customHeight="1" thickTop="1" thickBot="1" x14ac:dyDescent="0.4">
      <c r="A174" s="194" t="s">
        <v>45</v>
      </c>
      <c r="B174" s="174"/>
      <c r="C174" s="51">
        <v>9</v>
      </c>
      <c r="D174" s="202"/>
      <c r="E174" s="299"/>
      <c r="F174" s="300"/>
      <c r="G174" s="176"/>
    </row>
    <row r="175" spans="1:9" s="2" customFormat="1" ht="12" customHeight="1" thickTop="1" thickBot="1" x14ac:dyDescent="0.4">
      <c r="A175" s="169" t="str">
        <f>A165</f>
        <v>-----</v>
      </c>
      <c r="B175" s="174"/>
      <c r="D175" s="52"/>
      <c r="F175" s="15"/>
      <c r="G175" s="176"/>
    </row>
    <row r="176" spans="1:9" s="18" customFormat="1" ht="30" customHeight="1" thickTop="1" thickBot="1" x14ac:dyDescent="0.4">
      <c r="A176" s="194" t="s">
        <v>45</v>
      </c>
      <c r="B176" s="174"/>
      <c r="C176" s="16" t="s">
        <v>79</v>
      </c>
      <c r="D176" s="207" t="s">
        <v>41</v>
      </c>
      <c r="E176" s="311"/>
      <c r="F176" s="312"/>
      <c r="G176" s="176"/>
      <c r="H176" s="199"/>
      <c r="I176" s="24"/>
    </row>
    <row r="177" spans="1:9" s="50" customFormat="1" ht="25" customHeight="1" thickTop="1" thickBot="1" x14ac:dyDescent="0.4">
      <c r="A177" s="194" t="s">
        <v>45</v>
      </c>
      <c r="B177" s="174"/>
      <c r="C177" s="49">
        <v>1</v>
      </c>
      <c r="D177" s="203"/>
      <c r="E177" s="301"/>
      <c r="F177" s="302"/>
      <c r="G177" s="176"/>
      <c r="H177" s="199"/>
      <c r="I177" s="24"/>
    </row>
    <row r="178" spans="1:9" s="50" customFormat="1" ht="25" customHeight="1" thickTop="1" thickBot="1" x14ac:dyDescent="0.4">
      <c r="A178" s="194" t="s">
        <v>45</v>
      </c>
      <c r="B178" s="174"/>
      <c r="C178" s="51">
        <v>2</v>
      </c>
      <c r="D178" s="202"/>
      <c r="E178" s="299"/>
      <c r="F178" s="300"/>
      <c r="G178" s="176"/>
      <c r="I178" s="24"/>
    </row>
    <row r="179" spans="1:9" s="50" customFormat="1" ht="25" customHeight="1" thickTop="1" thickBot="1" x14ac:dyDescent="0.4">
      <c r="A179" s="194" t="s">
        <v>45</v>
      </c>
      <c r="B179" s="174"/>
      <c r="C179" s="51">
        <v>3</v>
      </c>
      <c r="D179" s="202"/>
      <c r="E179" s="299"/>
      <c r="F179" s="300"/>
      <c r="G179" s="176"/>
    </row>
    <row r="180" spans="1:9" s="50" customFormat="1" ht="25" customHeight="1" thickTop="1" thickBot="1" x14ac:dyDescent="0.4">
      <c r="A180" s="194" t="s">
        <v>45</v>
      </c>
      <c r="B180" s="174"/>
      <c r="C180" s="51">
        <v>4</v>
      </c>
      <c r="D180" s="202"/>
      <c r="E180" s="299"/>
      <c r="F180" s="300"/>
      <c r="G180" s="176"/>
    </row>
    <row r="181" spans="1:9" s="50" customFormat="1" ht="25" customHeight="1" thickTop="1" thickBot="1" x14ac:dyDescent="0.4">
      <c r="A181" s="194" t="s">
        <v>45</v>
      </c>
      <c r="B181" s="174"/>
      <c r="C181" s="51">
        <v>5</v>
      </c>
      <c r="D181" s="202"/>
      <c r="E181" s="299"/>
      <c r="F181" s="300"/>
      <c r="G181" s="176"/>
    </row>
    <row r="182" spans="1:9" s="50" customFormat="1" ht="25" customHeight="1" thickTop="1" thickBot="1" x14ac:dyDescent="0.4">
      <c r="A182" s="194" t="s">
        <v>45</v>
      </c>
      <c r="B182" s="174"/>
      <c r="C182" s="51">
        <v>6</v>
      </c>
      <c r="D182" s="202"/>
      <c r="E182" s="299"/>
      <c r="F182" s="300"/>
      <c r="G182" s="176"/>
    </row>
    <row r="183" spans="1:9" s="50" customFormat="1" ht="25" customHeight="1" thickTop="1" thickBot="1" x14ac:dyDescent="0.4">
      <c r="A183" s="194" t="s">
        <v>45</v>
      </c>
      <c r="B183" s="174"/>
      <c r="C183" s="51">
        <v>7</v>
      </c>
      <c r="D183" s="202"/>
      <c r="E183" s="299"/>
      <c r="F183" s="300"/>
      <c r="G183" s="176"/>
    </row>
    <row r="184" spans="1:9" s="50" customFormat="1" ht="25" customHeight="1" thickTop="1" thickBot="1" x14ac:dyDescent="0.4">
      <c r="A184" s="194" t="s">
        <v>45</v>
      </c>
      <c r="B184" s="174"/>
      <c r="C184" s="51">
        <v>8</v>
      </c>
      <c r="D184" s="202"/>
      <c r="E184" s="299"/>
      <c r="F184" s="300"/>
      <c r="G184" s="176"/>
    </row>
    <row r="185" spans="1:9" s="50" customFormat="1" ht="25" customHeight="1" thickTop="1" thickBot="1" x14ac:dyDescent="0.4">
      <c r="A185" s="194" t="s">
        <v>45</v>
      </c>
      <c r="B185" s="174"/>
      <c r="C185" s="51">
        <v>9</v>
      </c>
      <c r="D185" s="202"/>
      <c r="E185" s="299"/>
      <c r="F185" s="300"/>
      <c r="G185" s="176"/>
    </row>
    <row r="186" spans="1:9" s="2" customFormat="1" ht="12" customHeight="1" thickTop="1" x14ac:dyDescent="0.35">
      <c r="A186" s="169" t="str">
        <f>A176</f>
        <v>-----</v>
      </c>
      <c r="B186" s="174"/>
      <c r="D186" s="52"/>
      <c r="F186" s="15"/>
      <c r="G186" s="176"/>
    </row>
    <row r="187" spans="1:9" ht="10" customHeight="1" x14ac:dyDescent="0.35">
      <c r="A187" s="169" t="str">
        <f>A152</f>
        <v>-----</v>
      </c>
      <c r="B187" s="174"/>
      <c r="C187" s="59"/>
      <c r="D187" s="54"/>
      <c r="E187" s="59"/>
      <c r="F187" s="53"/>
      <c r="G187" s="176"/>
    </row>
    <row r="188" spans="1:9" s="2" customFormat="1" ht="12" customHeight="1" thickBot="1" x14ac:dyDescent="0.4">
      <c r="A188" s="169" t="str">
        <f>A189</f>
        <v>-----</v>
      </c>
      <c r="B188" s="174"/>
      <c r="D188" s="52"/>
      <c r="F188" s="15"/>
      <c r="G188" s="176"/>
    </row>
    <row r="189" spans="1:9" ht="25" customHeight="1" thickTop="1" thickBot="1" x14ac:dyDescent="0.4">
      <c r="A189" s="169" t="str">
        <f>IF(OR('B-Competency Review'!I19="Requires Attention",'B-Competency Review'!I21="Requires Attention",'B-Competency Review'!I23="Requires Attention",'B-Competency Review'!I25="Requires Attention",'B-Competency Review'!I27="Requires Attention",'B-Competency Review'!I34="Requires Attention",'B-Competency Review'!I36="Requires Attention",'B-Competency Review'!I38="Requires Attention",'B-Competency Review'!I40="Requires Attention",'B-Competency Review'!I42="Requires Attention",'B-Competency Review'!I44="Requires Attention",'B-Competency Review'!I46="Requires Attention",'B-Competency Review'!I48="Requires Attention",'B-Competency Review'!I50="Requires Attention",'B-Competency Review'!I52="Requires Attention"),"Print","-----")</f>
        <v>-----</v>
      </c>
      <c r="B189" s="174"/>
      <c r="C189" s="12" t="s">
        <v>80</v>
      </c>
      <c r="D189" s="56"/>
      <c r="E189" s="56"/>
      <c r="F189" s="173"/>
      <c r="G189" s="176"/>
    </row>
    <row r="190" spans="1:9" ht="20.149999999999999" customHeight="1" thickTop="1" x14ac:dyDescent="0.35">
      <c r="A190" s="169" t="str">
        <f>A189</f>
        <v>-----</v>
      </c>
      <c r="B190" s="174"/>
      <c r="C190" s="204"/>
      <c r="D190" s="298" t="s">
        <v>81</v>
      </c>
      <c r="E190" s="298"/>
      <c r="F190" s="298"/>
      <c r="G190" s="176"/>
    </row>
    <row r="191" spans="1:9" s="50" customFormat="1" ht="50.15" customHeight="1" x14ac:dyDescent="0.35">
      <c r="A191" s="169" t="str">
        <f>IF('B-Competency Review'!I19="Requires Attention","Print","-----")</f>
        <v>-----</v>
      </c>
      <c r="B191" s="174"/>
      <c r="C191" s="171" t="str">
        <f>'B-Competency Review'!B19</f>
        <v>A</v>
      </c>
      <c r="D191" s="291" t="str">
        <f>'B-Competency Review'!C19&amp;"  "&amp;'B-Competency Review'!L20</f>
        <v xml:space="preserve">Reliability:   </v>
      </c>
      <c r="E191" s="292"/>
      <c r="F191" s="293"/>
      <c r="G191" s="176"/>
    </row>
    <row r="192" spans="1:9" s="50" customFormat="1" ht="50.15" customHeight="1" x14ac:dyDescent="0.35">
      <c r="A192" s="169" t="str">
        <f>IF('B-Competency Review'!I21="Requires Attention","Print","-----")</f>
        <v>-----</v>
      </c>
      <c r="B192" s="174"/>
      <c r="C192" s="171" t="str">
        <f>'B-Competency Review'!B21</f>
        <v>B</v>
      </c>
      <c r="D192" s="291" t="str">
        <f>'B-Competency Review'!C21&amp;"  "&amp;'B-Competency Review'!L22</f>
        <v xml:space="preserve">Integrity:  </v>
      </c>
      <c r="E192" s="292"/>
      <c r="F192" s="293"/>
      <c r="G192" s="176"/>
    </row>
    <row r="193" spans="1:7" s="50" customFormat="1" ht="50.15" customHeight="1" x14ac:dyDescent="0.35">
      <c r="A193" s="169" t="str">
        <f>IF('B-Competency Review'!I23="Requires Attention","Print","-----")</f>
        <v>-----</v>
      </c>
      <c r="B193" s="174"/>
      <c r="C193" s="171" t="str">
        <f>'B-Competency Review'!B23</f>
        <v>C</v>
      </c>
      <c r="D193" s="291" t="str">
        <f>'B-Competency Review'!C23&amp;"  "&amp;'B-Competency Review'!L24</f>
        <v xml:space="preserve">Accountability:  </v>
      </c>
      <c r="E193" s="292"/>
      <c r="F193" s="293"/>
      <c r="G193" s="176"/>
    </row>
    <row r="194" spans="1:7" s="50" customFormat="1" ht="50.15" customHeight="1" x14ac:dyDescent="0.35">
      <c r="A194" s="169" t="str">
        <f>IF('B-Competency Review'!I25="Requires Attention","Print","-----")</f>
        <v>-----</v>
      </c>
      <c r="B194" s="174"/>
      <c r="C194" s="171" t="str">
        <f>'B-Competency Review'!B25</f>
        <v>D</v>
      </c>
      <c r="D194" s="291" t="str">
        <f>'B-Competency Review'!C25&amp;"  "&amp;'B-Competency Review'!L26</f>
        <v xml:space="preserve">Diversity:  </v>
      </c>
      <c r="E194" s="292"/>
      <c r="F194" s="293"/>
      <c r="G194" s="176"/>
    </row>
    <row r="195" spans="1:7" s="50" customFormat="1" ht="50.15" customHeight="1" x14ac:dyDescent="0.35">
      <c r="A195" s="169" t="str">
        <f>IF('B-Competency Review'!I27="Requires Attention","Print","-----")</f>
        <v>-----</v>
      </c>
      <c r="B195" s="174"/>
      <c r="C195" s="171" t="str">
        <f>'B-Competency Review'!B27</f>
        <v>E</v>
      </c>
      <c r="D195" s="294" t="str">
        <f>'B-Competency Review'!C27&amp;"  "&amp;'B-Competency Review'!L28</f>
        <v xml:space="preserve">Self Awareness:  </v>
      </c>
      <c r="E195" s="295"/>
      <c r="F195" s="296"/>
      <c r="G195" s="176"/>
    </row>
    <row r="196" spans="1:7" ht="20.149999999999999" customHeight="1" x14ac:dyDescent="0.35">
      <c r="A196" s="169" t="str">
        <f>A189</f>
        <v>-----</v>
      </c>
      <c r="B196" s="174"/>
      <c r="C196" s="205"/>
      <c r="D196" s="297" t="s">
        <v>82</v>
      </c>
      <c r="E196" s="297"/>
      <c r="F196" s="297"/>
      <c r="G196" s="176"/>
    </row>
    <row r="197" spans="1:7" s="50" customFormat="1" ht="50.15" customHeight="1" x14ac:dyDescent="0.35">
      <c r="A197" s="169" t="str">
        <f>IF('B-Competency Review'!I34="Requires Attention","Print","-----")</f>
        <v>-----</v>
      </c>
      <c r="B197" s="174"/>
      <c r="C197" s="171" t="str">
        <f>'B-Competency Review'!B34</f>
        <v>A</v>
      </c>
      <c r="D197" s="291" t="str">
        <f>'B-Competency Review'!C34&amp;"  "&amp;'B-Competency Review'!L35</f>
        <v xml:space="preserve">Achievement:  </v>
      </c>
      <c r="E197" s="292"/>
      <c r="F197" s="293"/>
      <c r="G197" s="176"/>
    </row>
    <row r="198" spans="1:7" s="50" customFormat="1" ht="50.15" customHeight="1" x14ac:dyDescent="0.35">
      <c r="A198" s="169" t="str">
        <f>IF('B-Competency Review'!I36="Requires Attention","Print","-----")</f>
        <v>-----</v>
      </c>
      <c r="B198" s="174"/>
      <c r="C198" s="171" t="str">
        <f>'B-Competency Review'!B36</f>
        <v>B</v>
      </c>
      <c r="D198" s="291" t="str">
        <f>'B-Competency Review'!C36&amp;"  "&amp;'B-Competency Review'!L37</f>
        <v xml:space="preserve">Analytical Thinking:  </v>
      </c>
      <c r="E198" s="292"/>
      <c r="F198" s="293"/>
      <c r="G198" s="176"/>
    </row>
    <row r="199" spans="1:7" s="50" customFormat="1" ht="50.15" customHeight="1" x14ac:dyDescent="0.35">
      <c r="A199" s="169" t="str">
        <f>IF('B-Competency Review'!I38="Requires Attention","Print","-----")</f>
        <v>-----</v>
      </c>
      <c r="B199" s="174"/>
      <c r="C199" s="171" t="str">
        <f>'B-Competency Review'!B38</f>
        <v>C</v>
      </c>
      <c r="D199" s="291" t="str">
        <f>'B-Competency Review'!C38&amp;"  "&amp;'B-Competency Review'!L39</f>
        <v xml:space="preserve">Adaptability &amp; Flexibility:   </v>
      </c>
      <c r="E199" s="292"/>
      <c r="F199" s="293"/>
      <c r="G199" s="176"/>
    </row>
    <row r="200" spans="1:7" s="50" customFormat="1" ht="50.15" customHeight="1" x14ac:dyDescent="0.35">
      <c r="A200" s="169" t="str">
        <f>IF('B-Competency Review'!I40="Requires Attention","Print","-----")</f>
        <v>-----</v>
      </c>
      <c r="B200" s="174"/>
      <c r="C200" s="171" t="str">
        <f>'B-Competency Review'!B40</f>
        <v>D</v>
      </c>
      <c r="D200" s="291" t="str">
        <f>'B-Competency Review'!C40&amp;"  "&amp;'B-Competency Review'!L41</f>
        <v xml:space="preserve">Initiative:   </v>
      </c>
      <c r="E200" s="292"/>
      <c r="F200" s="293"/>
      <c r="G200" s="176"/>
    </row>
    <row r="201" spans="1:7" s="50" customFormat="1" ht="50.15" customHeight="1" x14ac:dyDescent="0.35">
      <c r="A201" s="169" t="str">
        <f>IF('B-Competency Review'!I42="Requires Attention","Print","-----")</f>
        <v>-----</v>
      </c>
      <c r="B201" s="174"/>
      <c r="C201" s="171" t="str">
        <f>'B-Competency Review'!B42</f>
        <v>E</v>
      </c>
      <c r="D201" s="291" t="str">
        <f>'B-Competency Review'!C42&amp;"  "&amp;'B-Competency Review'!L43</f>
        <v xml:space="preserve">Holding People Accountable:  </v>
      </c>
      <c r="E201" s="292"/>
      <c r="F201" s="293"/>
      <c r="G201" s="176"/>
    </row>
    <row r="202" spans="1:7" s="50" customFormat="1" ht="50.15" customHeight="1" x14ac:dyDescent="0.35">
      <c r="A202" s="169" t="str">
        <f>IF('B-Competency Review'!I44="Requires Attention","Print","-----")</f>
        <v>-----</v>
      </c>
      <c r="B202" s="174"/>
      <c r="C202" s="171" t="str">
        <f>'B-Competency Review'!B44</f>
        <v>F</v>
      </c>
      <c r="D202" s="291" t="str">
        <f>'B-Competency Review'!C44&amp;"  "&amp;'B-Competency Review'!L45</f>
        <v xml:space="preserve">Leading and Developing Others:  </v>
      </c>
      <c r="E202" s="292"/>
      <c r="F202" s="293"/>
      <c r="G202" s="176"/>
    </row>
    <row r="203" spans="1:7" s="50" customFormat="1" ht="50.15" customHeight="1" x14ac:dyDescent="0.35">
      <c r="A203" s="169" t="str">
        <f>IF('B-Competency Review'!I46="Requires Attention","Print","-----")</f>
        <v>-----</v>
      </c>
      <c r="B203" s="174"/>
      <c r="C203" s="171" t="str">
        <f>'B-Competency Review'!B46</f>
        <v>G</v>
      </c>
      <c r="D203" s="291" t="str">
        <f>'B-Competency Review'!C46&amp;"  "&amp;'B-Competency Review'!L47</f>
        <v xml:space="preserve">Professional Confidence:  </v>
      </c>
      <c r="E203" s="292"/>
      <c r="F203" s="293"/>
      <c r="G203" s="176"/>
    </row>
    <row r="204" spans="1:7" s="50" customFormat="1" ht="50.15" customHeight="1" x14ac:dyDescent="0.35">
      <c r="A204" s="169" t="str">
        <f>IF('B-Competency Review'!I48="Requires Attention","Print","-----")</f>
        <v>-----</v>
      </c>
      <c r="B204" s="174"/>
      <c r="C204" s="171" t="str">
        <f>'B-Competency Review'!B48</f>
        <v>H</v>
      </c>
      <c r="D204" s="291" t="str">
        <f>'B-Competency Review'!C48&amp;"  "&amp;'B-Competency Review'!L49</f>
        <v xml:space="preserve">Relationship Building for Influence:  </v>
      </c>
      <c r="E204" s="292"/>
      <c r="F204" s="293"/>
      <c r="G204" s="176"/>
    </row>
    <row r="205" spans="1:7" s="50" customFormat="1" ht="50.15" customHeight="1" x14ac:dyDescent="0.35">
      <c r="A205" s="169" t="str">
        <f>IF('B-Competency Review'!I50="Requires Attention","Print","-----")</f>
        <v>-----</v>
      </c>
      <c r="B205" s="174"/>
      <c r="C205" s="171" t="str">
        <f>'B-Competency Review'!B50</f>
        <v>I</v>
      </c>
      <c r="D205" s="291" t="str">
        <f>'B-Competency Review'!C50&amp;"  "&amp;'B-Competency Review'!L51</f>
        <v xml:space="preserve">Teamworking:  </v>
      </c>
      <c r="E205" s="292"/>
      <c r="F205" s="293"/>
      <c r="G205" s="176"/>
    </row>
    <row r="206" spans="1:7" s="50" customFormat="1" ht="50.15" customHeight="1" x14ac:dyDescent="0.35">
      <c r="A206" s="169" t="str">
        <f>IF('B-Competency Review'!I52="Requires Attention","Print","-----")</f>
        <v>-----</v>
      </c>
      <c r="B206" s="174"/>
      <c r="C206" s="171" t="str">
        <f>'B-Competency Review'!B52</f>
        <v>J</v>
      </c>
      <c r="D206" s="291" t="str">
        <f>'B-Competency Review'!C52&amp;"  "&amp;'B-Competency Review'!L53</f>
        <v xml:space="preserve">Working Strategically:  </v>
      </c>
      <c r="E206" s="292"/>
      <c r="F206" s="293"/>
      <c r="G206" s="176"/>
    </row>
    <row r="207" spans="1:7" s="2" customFormat="1" ht="12" customHeight="1" x14ac:dyDescent="0.35">
      <c r="A207" s="169" t="str">
        <f>A189</f>
        <v>-----</v>
      </c>
      <c r="B207" s="174"/>
      <c r="D207" s="52"/>
      <c r="F207" s="15"/>
      <c r="G207" s="177"/>
    </row>
    <row r="208" spans="1:7" ht="10" customHeight="1" x14ac:dyDescent="0.35">
      <c r="A208" s="169" t="str">
        <f>A189</f>
        <v>-----</v>
      </c>
      <c r="B208" s="174"/>
      <c r="C208" s="59"/>
      <c r="D208" s="54"/>
      <c r="E208" s="59"/>
      <c r="F208" s="53"/>
      <c r="G208" s="176"/>
    </row>
    <row r="209" spans="1:7" s="2" customFormat="1" ht="12" customHeight="1" thickBot="1" x14ac:dyDescent="0.4">
      <c r="A209" s="169" t="str">
        <f>A210</f>
        <v>-----</v>
      </c>
      <c r="B209" s="174"/>
      <c r="D209" s="52"/>
      <c r="F209" s="15"/>
      <c r="G209" s="176"/>
    </row>
    <row r="210" spans="1:7" ht="25" customHeight="1" thickTop="1" thickBot="1" x14ac:dyDescent="0.4">
      <c r="A210" s="194" t="s">
        <v>45</v>
      </c>
      <c r="B210" s="174"/>
      <c r="C210" s="12" t="s">
        <v>83</v>
      </c>
      <c r="D210" s="56"/>
      <c r="E210" s="56"/>
      <c r="F210" s="173"/>
      <c r="G210" s="176"/>
    </row>
    <row r="211" spans="1:7" ht="15" customHeight="1" thickTop="1" thickBot="1" x14ac:dyDescent="0.4">
      <c r="A211" s="169" t="str">
        <f>A210</f>
        <v>-----</v>
      </c>
      <c r="B211" s="174"/>
      <c r="C211" s="204"/>
      <c r="D211" s="172"/>
      <c r="E211" s="201" t="s">
        <v>84</v>
      </c>
      <c r="F211" s="206" t="s">
        <v>85</v>
      </c>
      <c r="G211" s="176"/>
    </row>
    <row r="212" spans="1:7" s="50" customFormat="1" ht="50.15" customHeight="1" thickTop="1" thickBot="1" x14ac:dyDescent="0.4">
      <c r="A212" s="194" t="s">
        <v>45</v>
      </c>
      <c r="B212" s="174"/>
      <c r="C212" s="171" t="s">
        <v>40</v>
      </c>
      <c r="D212" s="208"/>
      <c r="E212" s="210"/>
      <c r="F212" s="210"/>
      <c r="G212" s="176"/>
    </row>
    <row r="213" spans="1:7" s="50" customFormat="1" ht="50.15" customHeight="1" thickTop="1" thickBot="1" x14ac:dyDescent="0.4">
      <c r="A213" s="194" t="s">
        <v>45</v>
      </c>
      <c r="B213" s="174"/>
      <c r="C213" s="58" t="s">
        <v>47</v>
      </c>
      <c r="D213" s="209"/>
      <c r="E213" s="210"/>
      <c r="F213" s="210"/>
      <c r="G213" s="176"/>
    </row>
    <row r="214" spans="1:7" s="50" customFormat="1" ht="50.15" customHeight="1" thickTop="1" thickBot="1" x14ac:dyDescent="0.4">
      <c r="A214" s="194" t="s">
        <v>45</v>
      </c>
      <c r="B214" s="174"/>
      <c r="C214" s="58" t="s">
        <v>48</v>
      </c>
      <c r="D214" s="209"/>
      <c r="E214" s="210"/>
      <c r="F214" s="210"/>
      <c r="G214" s="176"/>
    </row>
    <row r="215" spans="1:7" ht="20.149999999999999" customHeight="1" thickTop="1" x14ac:dyDescent="0.35">
      <c r="A215" s="169" t="str">
        <f>A210</f>
        <v>-----</v>
      </c>
      <c r="B215" s="174"/>
      <c r="D215" s="55"/>
      <c r="F215" s="44"/>
      <c r="G215" s="176"/>
    </row>
    <row r="216" spans="1:7" ht="10" customHeight="1" x14ac:dyDescent="0.35">
      <c r="A216" s="169" t="str">
        <f>A210</f>
        <v>-----</v>
      </c>
      <c r="B216" s="174"/>
      <c r="C216" s="59"/>
      <c r="D216" s="54"/>
      <c r="E216" s="59"/>
      <c r="F216" s="53"/>
      <c r="G216" s="176"/>
    </row>
    <row r="217" spans="1:7" ht="20.149999999999999" customHeight="1" x14ac:dyDescent="0.35">
      <c r="B217" s="174"/>
      <c r="D217" s="60"/>
      <c r="E217" s="313" t="s">
        <v>86</v>
      </c>
      <c r="F217" s="313"/>
      <c r="G217" s="175"/>
    </row>
    <row r="218" spans="1:7" ht="30" customHeight="1" x14ac:dyDescent="0.35">
      <c r="B218" s="174"/>
      <c r="C218" s="305" t="str">
        <f>'D-Summary'!C35</f>
        <v>Employee - Craig Parker</v>
      </c>
      <c r="D218" s="306"/>
      <c r="E218" s="61"/>
      <c r="F218" s="62"/>
      <c r="G218" s="175"/>
    </row>
    <row r="219" spans="1:7" ht="30" customHeight="1" x14ac:dyDescent="0.35">
      <c r="B219" s="174"/>
      <c r="C219" s="305" t="str">
        <f>'D-Summary'!C36</f>
        <v>Line Manager - Gloria Maimela (Director)</v>
      </c>
      <c r="D219" s="306"/>
      <c r="E219" s="61"/>
      <c r="F219" s="62"/>
      <c r="G219" s="175"/>
    </row>
    <row r="220" spans="1:7" ht="30" customHeight="1" x14ac:dyDescent="0.35">
      <c r="B220" s="174"/>
      <c r="C220" s="305" t="str">
        <f>'D-Summary'!C37</f>
        <v>Other Reviewers - NA</v>
      </c>
      <c r="D220" s="306"/>
      <c r="E220" s="61"/>
      <c r="F220" s="62"/>
      <c r="G220" s="175"/>
    </row>
    <row r="221" spans="1:7" ht="25" customHeight="1" x14ac:dyDescent="0.35">
      <c r="B221" s="175"/>
      <c r="G221" s="175"/>
    </row>
    <row r="222" spans="1:7" ht="10" customHeight="1" x14ac:dyDescent="0.35">
      <c r="B222" s="175"/>
      <c r="C222" s="175"/>
      <c r="D222" s="175"/>
      <c r="E222" s="175"/>
      <c r="F222" s="175"/>
      <c r="G222" s="175"/>
    </row>
  </sheetData>
  <sheetProtection algorithmName="SHA-512" hashValue="9Nf8GKsFelPiPAkm4GGEPLhyk7rzlLLHZ6CDrJ/YudnBV5iMtrulFqN3ZMznira0LOmxyP55MtAO94f7csrhug==" saltValue="WGcFqS7GG+m/0kIQ9ux7hw==" spinCount="100000" sheet="1" objects="1" scenarios="1" formatCells="0" formatRows="0" selectLockedCells="1"/>
  <mergeCells count="182">
    <mergeCell ref="A1:A6"/>
    <mergeCell ref="E185:F185"/>
    <mergeCell ref="E19:F19"/>
    <mergeCell ref="E20:F20"/>
    <mergeCell ref="E21:F21"/>
    <mergeCell ref="E33:F33"/>
    <mergeCell ref="E34:F34"/>
    <mergeCell ref="E35:F35"/>
    <mergeCell ref="E47:F47"/>
    <mergeCell ref="E48:F48"/>
    <mergeCell ref="E49:F49"/>
    <mergeCell ref="E61:F61"/>
    <mergeCell ref="E62:F62"/>
    <mergeCell ref="E63:F63"/>
    <mergeCell ref="E75:F75"/>
    <mergeCell ref="E76:F76"/>
    <mergeCell ref="E77:F77"/>
    <mergeCell ref="E89:F89"/>
    <mergeCell ref="E90:F90"/>
    <mergeCell ref="E91:F91"/>
    <mergeCell ref="E174:F174"/>
    <mergeCell ref="E176:F176"/>
    <mergeCell ref="E177:F177"/>
    <mergeCell ref="E108:F108"/>
    <mergeCell ref="E158:F158"/>
    <mergeCell ref="E159:F159"/>
    <mergeCell ref="E160:F160"/>
    <mergeCell ref="E161:F161"/>
    <mergeCell ref="E162:F162"/>
    <mergeCell ref="E109:F109"/>
    <mergeCell ref="E110:F110"/>
    <mergeCell ref="E94:F94"/>
    <mergeCell ref="E95:F95"/>
    <mergeCell ref="E96:F96"/>
    <mergeCell ref="E97:F97"/>
    <mergeCell ref="E101:F101"/>
    <mergeCell ref="E98:F98"/>
    <mergeCell ref="E99:F99"/>
    <mergeCell ref="E100:F100"/>
    <mergeCell ref="E102:F102"/>
    <mergeCell ref="E106:F106"/>
    <mergeCell ref="E103:F103"/>
    <mergeCell ref="E104:F104"/>
    <mergeCell ref="E105:F105"/>
    <mergeCell ref="E129:F129"/>
    <mergeCell ref="E130:F130"/>
    <mergeCell ref="E111:F111"/>
    <mergeCell ref="E115:F115"/>
    <mergeCell ref="E10:F10"/>
    <mergeCell ref="E11:F11"/>
    <mergeCell ref="E12:F12"/>
    <mergeCell ref="E13:F13"/>
    <mergeCell ref="E24:F24"/>
    <mergeCell ref="E25:F25"/>
    <mergeCell ref="E26:F26"/>
    <mergeCell ref="E27:F27"/>
    <mergeCell ref="E31:F31"/>
    <mergeCell ref="E58:F58"/>
    <mergeCell ref="E70:F70"/>
    <mergeCell ref="E71:F71"/>
    <mergeCell ref="E72:F72"/>
    <mergeCell ref="E84:F84"/>
    <mergeCell ref="E85:F85"/>
    <mergeCell ref="E82:F82"/>
    <mergeCell ref="E120:F120"/>
    <mergeCell ref="E122:F122"/>
    <mergeCell ref="E112:F112"/>
    <mergeCell ref="E113:F113"/>
    <mergeCell ref="E92:F92"/>
    <mergeCell ref="E86:F86"/>
    <mergeCell ref="E73:F73"/>
    <mergeCell ref="E74:F74"/>
    <mergeCell ref="E78:F78"/>
    <mergeCell ref="E80:F80"/>
    <mergeCell ref="E81:F81"/>
    <mergeCell ref="E83:F83"/>
    <mergeCell ref="E41:F41"/>
    <mergeCell ref="E45:F45"/>
    <mergeCell ref="E46:F46"/>
    <mergeCell ref="E50:F50"/>
    <mergeCell ref="E52:F52"/>
    <mergeCell ref="E43:F43"/>
    <mergeCell ref="E44:F44"/>
    <mergeCell ref="E123:F123"/>
    <mergeCell ref="E124:F124"/>
    <mergeCell ref="E42:F42"/>
    <mergeCell ref="E64:F64"/>
    <mergeCell ref="E66:F66"/>
    <mergeCell ref="E67:F67"/>
    <mergeCell ref="E68:F68"/>
    <mergeCell ref="E69:F69"/>
    <mergeCell ref="E53:F53"/>
    <mergeCell ref="E54:F54"/>
    <mergeCell ref="E55:F55"/>
    <mergeCell ref="E59:F59"/>
    <mergeCell ref="E60:F60"/>
    <mergeCell ref="E56:F56"/>
    <mergeCell ref="E57:F57"/>
    <mergeCell ref="E87:F87"/>
    <mergeCell ref="E88:F88"/>
    <mergeCell ref="E32:F32"/>
    <mergeCell ref="E36:F36"/>
    <mergeCell ref="E38:F38"/>
    <mergeCell ref="E39:F39"/>
    <mergeCell ref="E40:F40"/>
    <mergeCell ref="E14:F14"/>
    <mergeCell ref="E15:F15"/>
    <mergeCell ref="E16:F16"/>
    <mergeCell ref="E17:F17"/>
    <mergeCell ref="E18:F18"/>
    <mergeCell ref="E22:F22"/>
    <mergeCell ref="E28:F28"/>
    <mergeCell ref="E29:F29"/>
    <mergeCell ref="E30:F30"/>
    <mergeCell ref="C218:D218"/>
    <mergeCell ref="C219:D219"/>
    <mergeCell ref="C220:D220"/>
    <mergeCell ref="E134:F134"/>
    <mergeCell ref="E136:F136"/>
    <mergeCell ref="E148:F148"/>
    <mergeCell ref="E137:F137"/>
    <mergeCell ref="E138:F138"/>
    <mergeCell ref="E139:F139"/>
    <mergeCell ref="E143:F143"/>
    <mergeCell ref="E144:F144"/>
    <mergeCell ref="E146:F146"/>
    <mergeCell ref="E147:F147"/>
    <mergeCell ref="E178:F178"/>
    <mergeCell ref="E179:F179"/>
    <mergeCell ref="E180:F180"/>
    <mergeCell ref="E181:F181"/>
    <mergeCell ref="E163:F163"/>
    <mergeCell ref="E165:F165"/>
    <mergeCell ref="E217:F217"/>
    <mergeCell ref="E154:F154"/>
    <mergeCell ref="E155:F155"/>
    <mergeCell ref="E156:F156"/>
    <mergeCell ref="E157:F157"/>
    <mergeCell ref="E166:F166"/>
    <mergeCell ref="E167:F167"/>
    <mergeCell ref="E168:F168"/>
    <mergeCell ref="E169:F169"/>
    <mergeCell ref="E170:F170"/>
    <mergeCell ref="E171:F171"/>
    <mergeCell ref="E172:F172"/>
    <mergeCell ref="E173:F173"/>
    <mergeCell ref="E114:F114"/>
    <mergeCell ref="E126:F126"/>
    <mergeCell ref="E127:F127"/>
    <mergeCell ref="E128:F128"/>
    <mergeCell ref="E119:F119"/>
    <mergeCell ref="E131:F131"/>
    <mergeCell ref="E132:F132"/>
    <mergeCell ref="E133:F133"/>
    <mergeCell ref="E145:F145"/>
    <mergeCell ref="E140:F140"/>
    <mergeCell ref="E141:F141"/>
    <mergeCell ref="E142:F142"/>
    <mergeCell ref="E116:F116"/>
    <mergeCell ref="E117:F117"/>
    <mergeCell ref="E118:F118"/>
    <mergeCell ref="E125:F125"/>
    <mergeCell ref="D195:F195"/>
    <mergeCell ref="D196:F196"/>
    <mergeCell ref="D197:F197"/>
    <mergeCell ref="D191:F191"/>
    <mergeCell ref="D190:F190"/>
    <mergeCell ref="D192:F192"/>
    <mergeCell ref="D193:F193"/>
    <mergeCell ref="D194:F194"/>
    <mergeCell ref="E182:F182"/>
    <mergeCell ref="E183:F183"/>
    <mergeCell ref="E184:F184"/>
    <mergeCell ref="D203:F203"/>
    <mergeCell ref="D204:F204"/>
    <mergeCell ref="D205:F205"/>
    <mergeCell ref="D206:F206"/>
    <mergeCell ref="D198:F198"/>
    <mergeCell ref="D199:F199"/>
    <mergeCell ref="D200:F200"/>
    <mergeCell ref="D201:F201"/>
    <mergeCell ref="D202:F202"/>
  </mergeCells>
  <conditionalFormatting sqref="E152:F152">
    <cfRule type="cellIs" dxfId="510" priority="1201" operator="equal">
      <formula>"Due to the high performance score assign at least one additional KPA to Employee"</formula>
    </cfRule>
    <cfRule type="cellIs" dxfId="509" priority="1202" operator="equal">
      <formula>"Due to the higher than expected performance rating assign at least one additional KPA to Employee"</formula>
    </cfRule>
    <cfRule type="cellIs" dxfId="508" priority="1203" operator="equal">
      <formula>"Due to the higher than expected performance rating assign at least one additional KPA to Employee"</formula>
    </cfRule>
  </conditionalFormatting>
  <conditionalFormatting sqref="G192:G194 G197:G206">
    <cfRule type="cellIs" dxfId="507" priority="1134" operator="equal">
      <formula>"Active"</formula>
    </cfRule>
  </conditionalFormatting>
  <conditionalFormatting sqref="D155">
    <cfRule type="expression" dxfId="506" priority="1078">
      <formula>A155="Inactive"</formula>
    </cfRule>
  </conditionalFormatting>
  <conditionalFormatting sqref="D156">
    <cfRule type="expression" dxfId="505" priority="1076">
      <formula>A156="Inactive"</formula>
    </cfRule>
  </conditionalFormatting>
  <conditionalFormatting sqref="D157:D163">
    <cfRule type="expression" dxfId="504" priority="1074">
      <formula>A157="Inactive"</formula>
    </cfRule>
  </conditionalFormatting>
  <conditionalFormatting sqref="G152">
    <cfRule type="cellIs" dxfId="503" priority="856" operator="equal">
      <formula>"Active"</formula>
    </cfRule>
  </conditionalFormatting>
  <conditionalFormatting sqref="G10:G23">
    <cfRule type="cellIs" dxfId="502" priority="861" operator="equal">
      <formula>"Active"</formula>
    </cfRule>
  </conditionalFormatting>
  <conditionalFormatting sqref="G210 G212:G214">
    <cfRule type="cellIs" dxfId="501" priority="859" operator="equal">
      <formula>"Active"</formula>
    </cfRule>
  </conditionalFormatting>
  <conditionalFormatting sqref="G210 G212:G214">
    <cfRule type="cellIs" dxfId="500" priority="858" operator="equal">
      <formula>"Active"</formula>
    </cfRule>
  </conditionalFormatting>
  <conditionalFormatting sqref="G210 G212:G214">
    <cfRule type="cellIs" dxfId="499" priority="857" operator="equal">
      <formula>"Active"</formula>
    </cfRule>
  </conditionalFormatting>
  <conditionalFormatting sqref="G152">
    <cfRule type="cellIs" dxfId="498" priority="855" operator="equal">
      <formula>"Active"</formula>
    </cfRule>
  </conditionalFormatting>
  <conditionalFormatting sqref="G153">
    <cfRule type="cellIs" dxfId="497" priority="854" operator="equal">
      <formula>"Active"</formula>
    </cfRule>
  </conditionalFormatting>
  <conditionalFormatting sqref="G164">
    <cfRule type="cellIs" dxfId="496" priority="853" operator="equal">
      <formula>"Active"</formula>
    </cfRule>
  </conditionalFormatting>
  <conditionalFormatting sqref="G215:G216">
    <cfRule type="cellIs" dxfId="495" priority="852" operator="equal">
      <formula>"Active"</formula>
    </cfRule>
  </conditionalFormatting>
  <conditionalFormatting sqref="G187">
    <cfRule type="cellIs" dxfId="494" priority="851" operator="equal">
      <formula>"Active"</formula>
    </cfRule>
  </conditionalFormatting>
  <conditionalFormatting sqref="G211">
    <cfRule type="cellIs" dxfId="493" priority="850" operator="equal">
      <formula>"Active"</formula>
    </cfRule>
  </conditionalFormatting>
  <conditionalFormatting sqref="G190">
    <cfRule type="cellIs" dxfId="492" priority="849" operator="equal">
      <formula>"Active"</formula>
    </cfRule>
  </conditionalFormatting>
  <conditionalFormatting sqref="G191">
    <cfRule type="cellIs" dxfId="491" priority="848" operator="equal">
      <formula>"Active"</formula>
    </cfRule>
  </conditionalFormatting>
  <conditionalFormatting sqref="G188">
    <cfRule type="cellIs" dxfId="490" priority="845" operator="equal">
      <formula>"Active"</formula>
    </cfRule>
  </conditionalFormatting>
  <conditionalFormatting sqref="G189">
    <cfRule type="cellIs" dxfId="489" priority="846" operator="equal">
      <formula>"Active"</formula>
    </cfRule>
  </conditionalFormatting>
  <conditionalFormatting sqref="G154:G163">
    <cfRule type="cellIs" dxfId="488" priority="833" operator="equal">
      <formula>"Active"</formula>
    </cfRule>
  </conditionalFormatting>
  <conditionalFormatting sqref="D10">
    <cfRule type="expression" dxfId="487" priority="829">
      <formula>$A10="-----"</formula>
    </cfRule>
  </conditionalFormatting>
  <conditionalFormatting sqref="E10:F10">
    <cfRule type="expression" dxfId="486" priority="828">
      <formula>$A$10="-----"</formula>
    </cfRule>
  </conditionalFormatting>
  <conditionalFormatting sqref="D11">
    <cfRule type="expression" dxfId="485" priority="827">
      <formula>$A11="-----"</formula>
    </cfRule>
  </conditionalFormatting>
  <conditionalFormatting sqref="E11:F11">
    <cfRule type="expression" dxfId="484" priority="826">
      <formula>$A11="-----"</formula>
    </cfRule>
  </conditionalFormatting>
  <conditionalFormatting sqref="D12">
    <cfRule type="expression" dxfId="483" priority="825">
      <formula>$A12="-----"</formula>
    </cfRule>
  </conditionalFormatting>
  <conditionalFormatting sqref="E12:F12">
    <cfRule type="expression" dxfId="482" priority="824">
      <formula>$A12="-----"</formula>
    </cfRule>
  </conditionalFormatting>
  <conditionalFormatting sqref="D13">
    <cfRule type="expression" dxfId="481" priority="817">
      <formula>$A13="-----"</formula>
    </cfRule>
  </conditionalFormatting>
  <conditionalFormatting sqref="E13:F13">
    <cfRule type="expression" dxfId="480" priority="816">
      <formula>$A13="-----"</formula>
    </cfRule>
  </conditionalFormatting>
  <conditionalFormatting sqref="D14">
    <cfRule type="expression" dxfId="479" priority="815">
      <formula>$A14="-----"</formula>
    </cfRule>
  </conditionalFormatting>
  <conditionalFormatting sqref="E14:F14">
    <cfRule type="expression" dxfId="478" priority="814">
      <formula>$A14="-----"</formula>
    </cfRule>
  </conditionalFormatting>
  <conditionalFormatting sqref="D15">
    <cfRule type="expression" dxfId="477" priority="813">
      <formula>$A15="-----"</formula>
    </cfRule>
  </conditionalFormatting>
  <conditionalFormatting sqref="E15:F15">
    <cfRule type="expression" dxfId="476" priority="812">
      <formula>$A15="-----"</formula>
    </cfRule>
  </conditionalFormatting>
  <conditionalFormatting sqref="D16">
    <cfRule type="expression" dxfId="475" priority="811">
      <formula>$A16="-----"</formula>
    </cfRule>
  </conditionalFormatting>
  <conditionalFormatting sqref="E16:F16">
    <cfRule type="expression" dxfId="474" priority="810">
      <formula>$A16="-----"</formula>
    </cfRule>
  </conditionalFormatting>
  <conditionalFormatting sqref="D17">
    <cfRule type="expression" dxfId="473" priority="809">
      <formula>$A17="-----"</formula>
    </cfRule>
  </conditionalFormatting>
  <conditionalFormatting sqref="E17:F17">
    <cfRule type="expression" dxfId="472" priority="808">
      <formula>$A17="-----"</formula>
    </cfRule>
  </conditionalFormatting>
  <conditionalFormatting sqref="D18">
    <cfRule type="expression" dxfId="471" priority="807">
      <formula>$A18="-----"</formula>
    </cfRule>
  </conditionalFormatting>
  <conditionalFormatting sqref="E18:F18">
    <cfRule type="expression" dxfId="470" priority="806">
      <formula>$A18="-----"</formula>
    </cfRule>
  </conditionalFormatting>
  <conditionalFormatting sqref="D19">
    <cfRule type="expression" dxfId="469" priority="805">
      <formula>$A19="-----"</formula>
    </cfRule>
  </conditionalFormatting>
  <conditionalFormatting sqref="E19:F19">
    <cfRule type="expression" dxfId="468" priority="804">
      <formula>$A19="-----"</formula>
    </cfRule>
  </conditionalFormatting>
  <conditionalFormatting sqref="D20">
    <cfRule type="expression" dxfId="467" priority="803">
      <formula>$A20="-----"</formula>
    </cfRule>
  </conditionalFormatting>
  <conditionalFormatting sqref="E20:F20">
    <cfRule type="expression" priority="802">
      <formula>$A20="-----"</formula>
    </cfRule>
  </conditionalFormatting>
  <conditionalFormatting sqref="D21">
    <cfRule type="expression" dxfId="466" priority="801">
      <formula>$A21="-----"</formula>
    </cfRule>
  </conditionalFormatting>
  <conditionalFormatting sqref="E21:F21">
    <cfRule type="expression" priority="800">
      <formula>$A21="-----"</formula>
    </cfRule>
  </conditionalFormatting>
  <conditionalFormatting sqref="D22">
    <cfRule type="expression" dxfId="465" priority="799">
      <formula>$A22="-----"</formula>
    </cfRule>
  </conditionalFormatting>
  <conditionalFormatting sqref="E22:F22">
    <cfRule type="expression" priority="798">
      <formula>$A22="-----"</formula>
    </cfRule>
  </conditionalFormatting>
  <conditionalFormatting sqref="D23">
    <cfRule type="expression" dxfId="464" priority="797">
      <formula>$A$10="-----"</formula>
    </cfRule>
  </conditionalFormatting>
  <conditionalFormatting sqref="G24:G33">
    <cfRule type="cellIs" dxfId="463" priority="795" operator="equal">
      <formula>"Active"</formula>
    </cfRule>
  </conditionalFormatting>
  <conditionalFormatting sqref="E24:F24">
    <cfRule type="expression" dxfId="462" priority="793">
      <formula>$A$10="-----"</formula>
    </cfRule>
  </conditionalFormatting>
  <conditionalFormatting sqref="D25">
    <cfRule type="expression" dxfId="461" priority="792">
      <formula>$A25="-----"</formula>
    </cfRule>
  </conditionalFormatting>
  <conditionalFormatting sqref="E25:F25">
    <cfRule type="expression" dxfId="460" priority="791">
      <formula>$A25="-----"</formula>
    </cfRule>
  </conditionalFormatting>
  <conditionalFormatting sqref="D26">
    <cfRule type="expression" dxfId="459" priority="790">
      <formula>$A26="-----"</formula>
    </cfRule>
  </conditionalFormatting>
  <conditionalFormatting sqref="E26:F26">
    <cfRule type="expression" dxfId="458" priority="789">
      <formula>$A26="-----"</formula>
    </cfRule>
  </conditionalFormatting>
  <conditionalFormatting sqref="D27">
    <cfRule type="expression" dxfId="457" priority="788">
      <formula>$A27="-----"</formula>
    </cfRule>
  </conditionalFormatting>
  <conditionalFormatting sqref="E27:F27">
    <cfRule type="expression" dxfId="456" priority="787">
      <formula>$A27="-----"</formula>
    </cfRule>
  </conditionalFormatting>
  <conditionalFormatting sqref="D28">
    <cfRule type="expression" dxfId="455" priority="786">
      <formula>$A28="-----"</formula>
    </cfRule>
  </conditionalFormatting>
  <conditionalFormatting sqref="E28:F28">
    <cfRule type="expression" dxfId="454" priority="785">
      <formula>$A28="-----"</formula>
    </cfRule>
  </conditionalFormatting>
  <conditionalFormatting sqref="D29">
    <cfRule type="expression" dxfId="453" priority="784">
      <formula>$A29="-----"</formula>
    </cfRule>
  </conditionalFormatting>
  <conditionalFormatting sqref="E29:F29">
    <cfRule type="expression" dxfId="452" priority="783">
      <formula>$A29="-----"</formula>
    </cfRule>
  </conditionalFormatting>
  <conditionalFormatting sqref="D30">
    <cfRule type="expression" dxfId="451" priority="782">
      <formula>$A30="-----"</formula>
    </cfRule>
  </conditionalFormatting>
  <conditionalFormatting sqref="E30:F30">
    <cfRule type="expression" dxfId="450" priority="781">
      <formula>$A30="-----"</formula>
    </cfRule>
  </conditionalFormatting>
  <conditionalFormatting sqref="D31">
    <cfRule type="expression" dxfId="449" priority="780">
      <formula>$A31="-----"</formula>
    </cfRule>
  </conditionalFormatting>
  <conditionalFormatting sqref="E31:F31">
    <cfRule type="expression" dxfId="448" priority="779">
      <formula>$A31="-----"</formula>
    </cfRule>
  </conditionalFormatting>
  <conditionalFormatting sqref="D32">
    <cfRule type="expression" dxfId="447" priority="778">
      <formula>$A32="-----"</formula>
    </cfRule>
  </conditionalFormatting>
  <conditionalFormatting sqref="E32:F32">
    <cfRule type="expression" dxfId="446" priority="777">
      <formula>$A32="-----"</formula>
    </cfRule>
  </conditionalFormatting>
  <conditionalFormatting sqref="D33">
    <cfRule type="expression" dxfId="445" priority="776">
      <formula>$A33="-----"</formula>
    </cfRule>
  </conditionalFormatting>
  <conditionalFormatting sqref="E33:F33">
    <cfRule type="expression" dxfId="444" priority="775">
      <formula>$A33="-----"</formula>
    </cfRule>
  </conditionalFormatting>
  <conditionalFormatting sqref="G37">
    <cfRule type="cellIs" dxfId="443" priority="708" operator="equal">
      <formula>"Active"</formula>
    </cfRule>
  </conditionalFormatting>
  <conditionalFormatting sqref="D37">
    <cfRule type="expression" dxfId="442" priority="707">
      <formula>$A37="-----"</formula>
    </cfRule>
  </conditionalFormatting>
  <conditionalFormatting sqref="G38:G47">
    <cfRule type="cellIs" dxfId="441" priority="690" operator="equal">
      <formula>"Active"</formula>
    </cfRule>
  </conditionalFormatting>
  <conditionalFormatting sqref="E38:F38">
    <cfRule type="expression" dxfId="440" priority="688">
      <formula>$A$10="-----"</formula>
    </cfRule>
  </conditionalFormatting>
  <conditionalFormatting sqref="D39">
    <cfRule type="expression" dxfId="439" priority="687">
      <formula>$A39="-----"</formula>
    </cfRule>
  </conditionalFormatting>
  <conditionalFormatting sqref="E39:F39">
    <cfRule type="expression" dxfId="438" priority="686">
      <formula>$A39="-----"</formula>
    </cfRule>
  </conditionalFormatting>
  <conditionalFormatting sqref="D40">
    <cfRule type="expression" dxfId="437" priority="685">
      <formula>$A40="-----"</formula>
    </cfRule>
  </conditionalFormatting>
  <conditionalFormatting sqref="E40:F40">
    <cfRule type="expression" dxfId="436" priority="684">
      <formula>$A40="-----"</formula>
    </cfRule>
  </conditionalFormatting>
  <conditionalFormatting sqref="D41">
    <cfRule type="expression" dxfId="435" priority="683">
      <formula>$A41="-----"</formula>
    </cfRule>
  </conditionalFormatting>
  <conditionalFormatting sqref="E41:F41">
    <cfRule type="expression" dxfId="434" priority="682">
      <formula>$A41="-----"</formula>
    </cfRule>
  </conditionalFormatting>
  <conditionalFormatting sqref="D42">
    <cfRule type="expression" dxfId="433" priority="681">
      <formula>$A42="-----"</formula>
    </cfRule>
  </conditionalFormatting>
  <conditionalFormatting sqref="E42:F42">
    <cfRule type="expression" dxfId="432" priority="680">
      <formula>$A42="-----"</formula>
    </cfRule>
  </conditionalFormatting>
  <conditionalFormatting sqref="D43">
    <cfRule type="expression" dxfId="431" priority="679">
      <formula>$A43="-----"</formula>
    </cfRule>
  </conditionalFormatting>
  <conditionalFormatting sqref="E43:F43">
    <cfRule type="expression" dxfId="430" priority="678">
      <formula>$A43="-----"</formula>
    </cfRule>
  </conditionalFormatting>
  <conditionalFormatting sqref="D44">
    <cfRule type="expression" dxfId="429" priority="677">
      <formula>$A44="-----"</formula>
    </cfRule>
  </conditionalFormatting>
  <conditionalFormatting sqref="E44:F44">
    <cfRule type="expression" dxfId="428" priority="676">
      <formula>$A44="-----"</formula>
    </cfRule>
  </conditionalFormatting>
  <conditionalFormatting sqref="D45">
    <cfRule type="expression" dxfId="427" priority="675">
      <formula>$A45="-----"</formula>
    </cfRule>
  </conditionalFormatting>
  <conditionalFormatting sqref="E45:F45">
    <cfRule type="expression" dxfId="426" priority="674">
      <formula>$A45="-----"</formula>
    </cfRule>
  </conditionalFormatting>
  <conditionalFormatting sqref="D46">
    <cfRule type="expression" dxfId="425" priority="673">
      <formula>$A46="-----"</formula>
    </cfRule>
  </conditionalFormatting>
  <conditionalFormatting sqref="E46:F46">
    <cfRule type="expression" dxfId="424" priority="672">
      <formula>$A46="-----"</formula>
    </cfRule>
  </conditionalFormatting>
  <conditionalFormatting sqref="D47">
    <cfRule type="expression" dxfId="423" priority="671">
      <formula>$A47="-----"</formula>
    </cfRule>
  </conditionalFormatting>
  <conditionalFormatting sqref="E47:F47">
    <cfRule type="expression" dxfId="422" priority="670">
      <formula>$A47="-----"</formula>
    </cfRule>
  </conditionalFormatting>
  <conditionalFormatting sqref="G51">
    <cfRule type="cellIs" dxfId="421" priority="662" operator="equal">
      <formula>"Active"</formula>
    </cfRule>
  </conditionalFormatting>
  <conditionalFormatting sqref="D51">
    <cfRule type="expression" dxfId="420" priority="661">
      <formula>$A51="-----"</formula>
    </cfRule>
  </conditionalFormatting>
  <conditionalFormatting sqref="G52:G61">
    <cfRule type="cellIs" dxfId="419" priority="628" operator="equal">
      <formula>"Active"</formula>
    </cfRule>
  </conditionalFormatting>
  <conditionalFormatting sqref="E52:F52">
    <cfRule type="expression" dxfId="418" priority="626">
      <formula>$A$10="-----"</formula>
    </cfRule>
  </conditionalFormatting>
  <conditionalFormatting sqref="D53">
    <cfRule type="expression" dxfId="417" priority="625">
      <formula>$A53="-----"</formula>
    </cfRule>
  </conditionalFormatting>
  <conditionalFormatting sqref="E53:F53">
    <cfRule type="expression" dxfId="416" priority="624">
      <formula>$A53="-----"</formula>
    </cfRule>
  </conditionalFormatting>
  <conditionalFormatting sqref="D54">
    <cfRule type="expression" dxfId="415" priority="623">
      <formula>$A54="-----"</formula>
    </cfRule>
  </conditionalFormatting>
  <conditionalFormatting sqref="E54:F54">
    <cfRule type="expression" dxfId="414" priority="622">
      <formula>$A54="-----"</formula>
    </cfRule>
  </conditionalFormatting>
  <conditionalFormatting sqref="D55">
    <cfRule type="expression" dxfId="413" priority="621">
      <formula>$A55="-----"</formula>
    </cfRule>
  </conditionalFormatting>
  <conditionalFormatting sqref="E55:F55">
    <cfRule type="expression" dxfId="412" priority="620">
      <formula>$A55="-----"</formula>
    </cfRule>
  </conditionalFormatting>
  <conditionalFormatting sqref="D56">
    <cfRule type="expression" dxfId="411" priority="619">
      <formula>$A56="-----"</formula>
    </cfRule>
  </conditionalFormatting>
  <conditionalFormatting sqref="E56:F56">
    <cfRule type="expression" dxfId="410" priority="618">
      <formula>$A56="-----"</formula>
    </cfRule>
  </conditionalFormatting>
  <conditionalFormatting sqref="D57">
    <cfRule type="expression" dxfId="409" priority="617">
      <formula>$A57="-----"</formula>
    </cfRule>
  </conditionalFormatting>
  <conditionalFormatting sqref="E57:F57">
    <cfRule type="expression" dxfId="408" priority="616">
      <formula>$A57="-----"</formula>
    </cfRule>
  </conditionalFormatting>
  <conditionalFormatting sqref="D58">
    <cfRule type="expression" dxfId="407" priority="615">
      <formula>$A58="-----"</formula>
    </cfRule>
  </conditionalFormatting>
  <conditionalFormatting sqref="E58:F58">
    <cfRule type="expression" dxfId="406" priority="614">
      <formula>$A58="-----"</formula>
    </cfRule>
  </conditionalFormatting>
  <conditionalFormatting sqref="D59">
    <cfRule type="expression" dxfId="405" priority="613">
      <formula>$A59="-----"</formula>
    </cfRule>
  </conditionalFormatting>
  <conditionalFormatting sqref="E59:F59">
    <cfRule type="expression" dxfId="404" priority="612">
      <formula>$A59="-----"</formula>
    </cfRule>
  </conditionalFormatting>
  <conditionalFormatting sqref="D60">
    <cfRule type="expression" dxfId="403" priority="611">
      <formula>$A60="-----"</formula>
    </cfRule>
  </conditionalFormatting>
  <conditionalFormatting sqref="E60:F60">
    <cfRule type="expression" dxfId="402" priority="610">
      <formula>$A60="-----"</formula>
    </cfRule>
  </conditionalFormatting>
  <conditionalFormatting sqref="D61">
    <cfRule type="expression" dxfId="401" priority="609">
      <formula>$A61="-----"</formula>
    </cfRule>
  </conditionalFormatting>
  <conditionalFormatting sqref="E61:F61">
    <cfRule type="expression" dxfId="400" priority="608">
      <formula>$A61="-----"</formula>
    </cfRule>
  </conditionalFormatting>
  <conditionalFormatting sqref="G65">
    <cfRule type="cellIs" dxfId="399" priority="600" operator="equal">
      <formula>"Active"</formula>
    </cfRule>
  </conditionalFormatting>
  <conditionalFormatting sqref="D65">
    <cfRule type="expression" dxfId="398" priority="599">
      <formula>$A65="-----"</formula>
    </cfRule>
  </conditionalFormatting>
  <conditionalFormatting sqref="G66:G75">
    <cfRule type="cellIs" dxfId="397" priority="597" operator="equal">
      <formula>"Active"</formula>
    </cfRule>
  </conditionalFormatting>
  <conditionalFormatting sqref="E66:F66">
    <cfRule type="expression" dxfId="396" priority="595">
      <formula>$A$10="-----"</formula>
    </cfRule>
  </conditionalFormatting>
  <conditionalFormatting sqref="D67">
    <cfRule type="expression" dxfId="395" priority="594">
      <formula>$A67="-----"</formula>
    </cfRule>
  </conditionalFormatting>
  <conditionalFormatting sqref="E67:F67">
    <cfRule type="expression" dxfId="394" priority="593">
      <formula>$A67="-----"</formula>
    </cfRule>
  </conditionalFormatting>
  <conditionalFormatting sqref="D68">
    <cfRule type="expression" dxfId="393" priority="592">
      <formula>$A68="-----"</formula>
    </cfRule>
  </conditionalFormatting>
  <conditionalFormatting sqref="E68:F68">
    <cfRule type="expression" dxfId="392" priority="591">
      <formula>$A68="-----"</formula>
    </cfRule>
  </conditionalFormatting>
  <conditionalFormatting sqref="D69">
    <cfRule type="expression" dxfId="391" priority="590">
      <formula>$A69="-----"</formula>
    </cfRule>
  </conditionalFormatting>
  <conditionalFormatting sqref="E69:F69">
    <cfRule type="expression" dxfId="390" priority="589">
      <formula>$A69="-----"</formula>
    </cfRule>
  </conditionalFormatting>
  <conditionalFormatting sqref="D70">
    <cfRule type="expression" dxfId="389" priority="588">
      <formula>$A70="-----"</formula>
    </cfRule>
  </conditionalFormatting>
  <conditionalFormatting sqref="E70:F70">
    <cfRule type="expression" dxfId="388" priority="587">
      <formula>$A70="-----"</formula>
    </cfRule>
  </conditionalFormatting>
  <conditionalFormatting sqref="D71">
    <cfRule type="expression" dxfId="387" priority="586">
      <formula>$A71="-----"</formula>
    </cfRule>
  </conditionalFormatting>
  <conditionalFormatting sqref="E71:F71">
    <cfRule type="expression" dxfId="386" priority="585">
      <formula>$A71="-----"</formula>
    </cfRule>
  </conditionalFormatting>
  <conditionalFormatting sqref="D72">
    <cfRule type="expression" dxfId="385" priority="584">
      <formula>$A72="-----"</formula>
    </cfRule>
  </conditionalFormatting>
  <conditionalFormatting sqref="E72:F72">
    <cfRule type="expression" dxfId="384" priority="583">
      <formula>$A72="-----"</formula>
    </cfRule>
  </conditionalFormatting>
  <conditionalFormatting sqref="D73">
    <cfRule type="expression" dxfId="383" priority="582">
      <formula>$A73="-----"</formula>
    </cfRule>
  </conditionalFormatting>
  <conditionalFormatting sqref="E73:F73">
    <cfRule type="expression" dxfId="382" priority="581">
      <formula>$A73="-----"</formula>
    </cfRule>
  </conditionalFormatting>
  <conditionalFormatting sqref="D74">
    <cfRule type="expression" dxfId="381" priority="580">
      <formula>$A74="-----"</formula>
    </cfRule>
  </conditionalFormatting>
  <conditionalFormatting sqref="E74:F74">
    <cfRule type="expression" dxfId="380" priority="579">
      <formula>$A74="-----"</formula>
    </cfRule>
  </conditionalFormatting>
  <conditionalFormatting sqref="D75">
    <cfRule type="expression" dxfId="379" priority="578">
      <formula>$A75="-----"</formula>
    </cfRule>
  </conditionalFormatting>
  <conditionalFormatting sqref="E75:F75">
    <cfRule type="expression" dxfId="378" priority="577">
      <formula>$A75="-----"</formula>
    </cfRule>
  </conditionalFormatting>
  <conditionalFormatting sqref="G79">
    <cfRule type="cellIs" dxfId="377" priority="569" operator="equal">
      <formula>"Active"</formula>
    </cfRule>
  </conditionalFormatting>
  <conditionalFormatting sqref="D79">
    <cfRule type="expression" dxfId="376" priority="568">
      <formula>$A79="-----"</formula>
    </cfRule>
  </conditionalFormatting>
  <conditionalFormatting sqref="G80:G89">
    <cfRule type="cellIs" dxfId="375" priority="566" operator="equal">
      <formula>"Active"</formula>
    </cfRule>
  </conditionalFormatting>
  <conditionalFormatting sqref="E80:F80">
    <cfRule type="expression" dxfId="374" priority="564">
      <formula>$A$10="-----"</formula>
    </cfRule>
  </conditionalFormatting>
  <conditionalFormatting sqref="D81">
    <cfRule type="expression" dxfId="373" priority="563">
      <formula>$A81="-----"</formula>
    </cfRule>
  </conditionalFormatting>
  <conditionalFormatting sqref="E81:F81">
    <cfRule type="expression" dxfId="372" priority="562">
      <formula>$A81="-----"</formula>
    </cfRule>
  </conditionalFormatting>
  <conditionalFormatting sqref="D82">
    <cfRule type="expression" dxfId="371" priority="561">
      <formula>$A82="-----"</formula>
    </cfRule>
  </conditionalFormatting>
  <conditionalFormatting sqref="E82:F82">
    <cfRule type="expression" dxfId="370" priority="560">
      <formula>$A82="-----"</formula>
    </cfRule>
  </conditionalFormatting>
  <conditionalFormatting sqref="D83">
    <cfRule type="expression" dxfId="369" priority="559">
      <formula>$A83="-----"</formula>
    </cfRule>
  </conditionalFormatting>
  <conditionalFormatting sqref="E83:F83">
    <cfRule type="expression" dxfId="368" priority="558">
      <formula>$A83="-----"</formula>
    </cfRule>
  </conditionalFormatting>
  <conditionalFormatting sqref="D84">
    <cfRule type="expression" dxfId="367" priority="557">
      <formula>$A84="-----"</formula>
    </cfRule>
  </conditionalFormatting>
  <conditionalFormatting sqref="E84:F84">
    <cfRule type="expression" dxfId="366" priority="556">
      <formula>$A84="-----"</formula>
    </cfRule>
  </conditionalFormatting>
  <conditionalFormatting sqref="D85">
    <cfRule type="expression" dxfId="365" priority="555">
      <formula>$A85="-----"</formula>
    </cfRule>
  </conditionalFormatting>
  <conditionalFormatting sqref="E85:F85">
    <cfRule type="expression" dxfId="364" priority="554">
      <formula>$A85="-----"</formula>
    </cfRule>
  </conditionalFormatting>
  <conditionalFormatting sqref="D86">
    <cfRule type="expression" dxfId="363" priority="553">
      <formula>$A86="-----"</formula>
    </cfRule>
  </conditionalFormatting>
  <conditionalFormatting sqref="E86:F86">
    <cfRule type="expression" dxfId="362" priority="552">
      <formula>$A86="-----"</formula>
    </cfRule>
  </conditionalFormatting>
  <conditionalFormatting sqref="D87">
    <cfRule type="expression" dxfId="361" priority="551">
      <formula>$A87="-----"</formula>
    </cfRule>
  </conditionalFormatting>
  <conditionalFormatting sqref="E87:F87">
    <cfRule type="expression" dxfId="360" priority="550">
      <formula>$A87="-----"</formula>
    </cfRule>
  </conditionalFormatting>
  <conditionalFormatting sqref="D88">
    <cfRule type="expression" dxfId="359" priority="549">
      <formula>$A88="-----"</formula>
    </cfRule>
  </conditionalFormatting>
  <conditionalFormatting sqref="E88:F88">
    <cfRule type="expression" dxfId="358" priority="548">
      <formula>$A88="-----"</formula>
    </cfRule>
  </conditionalFormatting>
  <conditionalFormatting sqref="D89">
    <cfRule type="expression" dxfId="357" priority="547">
      <formula>$A89="-----"</formula>
    </cfRule>
  </conditionalFormatting>
  <conditionalFormatting sqref="E89:F89">
    <cfRule type="expression" dxfId="356" priority="546">
      <formula>$A89="-----"</formula>
    </cfRule>
  </conditionalFormatting>
  <conditionalFormatting sqref="G93">
    <cfRule type="cellIs" dxfId="355" priority="538" operator="equal">
      <formula>"Active"</formula>
    </cfRule>
  </conditionalFormatting>
  <conditionalFormatting sqref="D93">
    <cfRule type="expression" dxfId="354" priority="537">
      <formula>$A93="-----"</formula>
    </cfRule>
  </conditionalFormatting>
  <conditionalFormatting sqref="G94:G103">
    <cfRule type="cellIs" dxfId="353" priority="535" operator="equal">
      <formula>"Active"</formula>
    </cfRule>
  </conditionalFormatting>
  <conditionalFormatting sqref="E94:F94">
    <cfRule type="expression" dxfId="352" priority="533">
      <formula>$A$10="-----"</formula>
    </cfRule>
  </conditionalFormatting>
  <conditionalFormatting sqref="D95">
    <cfRule type="expression" dxfId="351" priority="532">
      <formula>$A95="-----"</formula>
    </cfRule>
  </conditionalFormatting>
  <conditionalFormatting sqref="E95:F95">
    <cfRule type="expression" dxfId="350" priority="531">
      <formula>$A95="-----"</formula>
    </cfRule>
  </conditionalFormatting>
  <conditionalFormatting sqref="D96">
    <cfRule type="expression" dxfId="349" priority="530">
      <formula>$A96="-----"</formula>
    </cfRule>
  </conditionalFormatting>
  <conditionalFormatting sqref="E96:F96">
    <cfRule type="expression" dxfId="348" priority="529">
      <formula>$A96="-----"</formula>
    </cfRule>
  </conditionalFormatting>
  <conditionalFormatting sqref="D97">
    <cfRule type="expression" dxfId="347" priority="528">
      <formula>$A97="-----"</formula>
    </cfRule>
  </conditionalFormatting>
  <conditionalFormatting sqref="E97:F97">
    <cfRule type="expression" dxfId="346" priority="527">
      <formula>$A97="-----"</formula>
    </cfRule>
  </conditionalFormatting>
  <conditionalFormatting sqref="D98">
    <cfRule type="expression" dxfId="345" priority="526">
      <formula>$A98="-----"</formula>
    </cfRule>
  </conditionalFormatting>
  <conditionalFormatting sqref="E98:F98">
    <cfRule type="expression" dxfId="344" priority="525">
      <formula>$A98="-----"</formula>
    </cfRule>
  </conditionalFormatting>
  <conditionalFormatting sqref="D99">
    <cfRule type="expression" dxfId="343" priority="524">
      <formula>$A99="-----"</formula>
    </cfRule>
  </conditionalFormatting>
  <conditionalFormatting sqref="E99:F99">
    <cfRule type="expression" dxfId="342" priority="523">
      <formula>$A99="-----"</formula>
    </cfRule>
  </conditionalFormatting>
  <conditionalFormatting sqref="D100">
    <cfRule type="expression" dxfId="341" priority="522">
      <formula>$A100="-----"</formula>
    </cfRule>
  </conditionalFormatting>
  <conditionalFormatting sqref="E100:F100">
    <cfRule type="expression" dxfId="340" priority="521">
      <formula>$A100="-----"</formula>
    </cfRule>
  </conditionalFormatting>
  <conditionalFormatting sqref="D101">
    <cfRule type="expression" dxfId="339" priority="520">
      <formula>$A101="-----"</formula>
    </cfRule>
  </conditionalFormatting>
  <conditionalFormatting sqref="E101:F101">
    <cfRule type="expression" dxfId="338" priority="519">
      <formula>$A101="-----"</formula>
    </cfRule>
  </conditionalFormatting>
  <conditionalFormatting sqref="D102">
    <cfRule type="expression" dxfId="337" priority="518">
      <formula>$A102="-----"</formula>
    </cfRule>
  </conditionalFormatting>
  <conditionalFormatting sqref="E102:F102">
    <cfRule type="expression" dxfId="336" priority="517">
      <formula>$A102="-----"</formula>
    </cfRule>
  </conditionalFormatting>
  <conditionalFormatting sqref="D103">
    <cfRule type="expression" dxfId="335" priority="516">
      <formula>$A103="-----"</formula>
    </cfRule>
  </conditionalFormatting>
  <conditionalFormatting sqref="E103:F103">
    <cfRule type="expression" dxfId="334" priority="515">
      <formula>$A103="-----"</formula>
    </cfRule>
  </conditionalFormatting>
  <conditionalFormatting sqref="G107">
    <cfRule type="cellIs" dxfId="333" priority="507" operator="equal">
      <formula>"Active"</formula>
    </cfRule>
  </conditionalFormatting>
  <conditionalFormatting sqref="D107">
    <cfRule type="expression" dxfId="332" priority="506">
      <formula>$A107="-----"</formula>
    </cfRule>
  </conditionalFormatting>
  <conditionalFormatting sqref="G108:G117">
    <cfRule type="cellIs" dxfId="331" priority="504" operator="equal">
      <formula>"Active"</formula>
    </cfRule>
  </conditionalFormatting>
  <conditionalFormatting sqref="E108:F108">
    <cfRule type="expression" dxfId="330" priority="502">
      <formula>$A$10="-----"</formula>
    </cfRule>
  </conditionalFormatting>
  <conditionalFormatting sqref="D109">
    <cfRule type="expression" dxfId="329" priority="501">
      <formula>$A109="-----"</formula>
    </cfRule>
  </conditionalFormatting>
  <conditionalFormatting sqref="E109:F109">
    <cfRule type="expression" dxfId="328" priority="500">
      <formula>$A109="-----"</formula>
    </cfRule>
  </conditionalFormatting>
  <conditionalFormatting sqref="D110">
    <cfRule type="expression" dxfId="327" priority="499">
      <formula>$A110="-----"</formula>
    </cfRule>
  </conditionalFormatting>
  <conditionalFormatting sqref="E110:F110">
    <cfRule type="expression" dxfId="326" priority="498">
      <formula>$A110="-----"</formula>
    </cfRule>
  </conditionalFormatting>
  <conditionalFormatting sqref="D111">
    <cfRule type="expression" dxfId="325" priority="497">
      <formula>$A111="-----"</formula>
    </cfRule>
  </conditionalFormatting>
  <conditionalFormatting sqref="E111:F111">
    <cfRule type="expression" dxfId="324" priority="496">
      <formula>$A111="-----"</formula>
    </cfRule>
  </conditionalFormatting>
  <conditionalFormatting sqref="D112">
    <cfRule type="expression" dxfId="323" priority="495">
      <formula>$A112="-----"</formula>
    </cfRule>
  </conditionalFormatting>
  <conditionalFormatting sqref="E112:F112">
    <cfRule type="expression" dxfId="322" priority="494">
      <formula>$A112="-----"</formula>
    </cfRule>
  </conditionalFormatting>
  <conditionalFormatting sqref="D113">
    <cfRule type="expression" dxfId="321" priority="493">
      <formula>$A113="-----"</formula>
    </cfRule>
  </conditionalFormatting>
  <conditionalFormatting sqref="E113:F113">
    <cfRule type="expression" dxfId="320" priority="492">
      <formula>$A113="-----"</formula>
    </cfRule>
  </conditionalFormatting>
  <conditionalFormatting sqref="D114">
    <cfRule type="expression" dxfId="319" priority="491">
      <formula>$A114="-----"</formula>
    </cfRule>
  </conditionalFormatting>
  <conditionalFormatting sqref="E114:F114">
    <cfRule type="expression" dxfId="318" priority="490">
      <formula>$A114="-----"</formula>
    </cfRule>
  </conditionalFormatting>
  <conditionalFormatting sqref="D115">
    <cfRule type="expression" dxfId="317" priority="489">
      <formula>$A115="-----"</formula>
    </cfRule>
  </conditionalFormatting>
  <conditionalFormatting sqref="E115:F115">
    <cfRule type="expression" dxfId="316" priority="488">
      <formula>$A115="-----"</formula>
    </cfRule>
  </conditionalFormatting>
  <conditionalFormatting sqref="D116">
    <cfRule type="expression" dxfId="315" priority="487">
      <formula>$A116="-----"</formula>
    </cfRule>
  </conditionalFormatting>
  <conditionalFormatting sqref="E116:F116">
    <cfRule type="expression" dxfId="314" priority="486">
      <formula>$A116="-----"</formula>
    </cfRule>
  </conditionalFormatting>
  <conditionalFormatting sqref="D117">
    <cfRule type="expression" dxfId="313" priority="485">
      <formula>$A117="-----"</formula>
    </cfRule>
  </conditionalFormatting>
  <conditionalFormatting sqref="E117:F117">
    <cfRule type="expression" dxfId="312" priority="484">
      <formula>$A117="-----"</formula>
    </cfRule>
  </conditionalFormatting>
  <conditionalFormatting sqref="G121">
    <cfRule type="cellIs" dxfId="311" priority="476" operator="equal">
      <formula>"Active"</formula>
    </cfRule>
  </conditionalFormatting>
  <conditionalFormatting sqref="D121">
    <cfRule type="expression" dxfId="310" priority="475">
      <formula>$A121="-----"</formula>
    </cfRule>
  </conditionalFormatting>
  <conditionalFormatting sqref="G122:G131">
    <cfRule type="cellIs" dxfId="309" priority="473" operator="equal">
      <formula>"Active"</formula>
    </cfRule>
  </conditionalFormatting>
  <conditionalFormatting sqref="E122:F122">
    <cfRule type="expression" dxfId="308" priority="471">
      <formula>$A$10="-----"</formula>
    </cfRule>
  </conditionalFormatting>
  <conditionalFormatting sqref="D123">
    <cfRule type="expression" dxfId="307" priority="470">
      <formula>$A123="-----"</formula>
    </cfRule>
  </conditionalFormatting>
  <conditionalFormatting sqref="E123:F123">
    <cfRule type="expression" dxfId="306" priority="469">
      <formula>$A123="-----"</formula>
    </cfRule>
  </conditionalFormatting>
  <conditionalFormatting sqref="D124">
    <cfRule type="expression" dxfId="305" priority="468">
      <formula>$A124="-----"</formula>
    </cfRule>
  </conditionalFormatting>
  <conditionalFormatting sqref="E124:F124">
    <cfRule type="expression" dxfId="304" priority="467">
      <formula>$A124="-----"</formula>
    </cfRule>
  </conditionalFormatting>
  <conditionalFormatting sqref="D125">
    <cfRule type="expression" dxfId="303" priority="466">
      <formula>$A125="-----"</formula>
    </cfRule>
  </conditionalFormatting>
  <conditionalFormatting sqref="E125:F125">
    <cfRule type="expression" dxfId="302" priority="465">
      <formula>$A125="-----"</formula>
    </cfRule>
  </conditionalFormatting>
  <conditionalFormatting sqref="D126">
    <cfRule type="expression" dxfId="301" priority="464">
      <formula>$A126="-----"</formula>
    </cfRule>
  </conditionalFormatting>
  <conditionalFormatting sqref="E126:F126">
    <cfRule type="expression" dxfId="300" priority="463">
      <formula>$A126="-----"</formula>
    </cfRule>
  </conditionalFormatting>
  <conditionalFormatting sqref="D127">
    <cfRule type="expression" dxfId="299" priority="462">
      <formula>$A127="-----"</formula>
    </cfRule>
  </conditionalFormatting>
  <conditionalFormatting sqref="E127:F127">
    <cfRule type="expression" dxfId="298" priority="461">
      <formula>$A127="-----"</formula>
    </cfRule>
  </conditionalFormatting>
  <conditionalFormatting sqref="D128">
    <cfRule type="expression" dxfId="297" priority="460">
      <formula>$A128="-----"</formula>
    </cfRule>
  </conditionalFormatting>
  <conditionalFormatting sqref="E128:F128">
    <cfRule type="expression" dxfId="296" priority="459">
      <formula>$A128="-----"</formula>
    </cfRule>
  </conditionalFormatting>
  <conditionalFormatting sqref="D129">
    <cfRule type="expression" dxfId="295" priority="458">
      <formula>$A129="-----"</formula>
    </cfRule>
  </conditionalFormatting>
  <conditionalFormatting sqref="E129:F129">
    <cfRule type="expression" dxfId="294" priority="457">
      <formula>$A129="-----"</formula>
    </cfRule>
  </conditionalFormatting>
  <conditionalFormatting sqref="D130">
    <cfRule type="expression" dxfId="293" priority="456">
      <formula>$A130="-----"</formula>
    </cfRule>
  </conditionalFormatting>
  <conditionalFormatting sqref="E130:F130">
    <cfRule type="expression" dxfId="292" priority="455">
      <formula>$A130="-----"</formula>
    </cfRule>
  </conditionalFormatting>
  <conditionalFormatting sqref="D131">
    <cfRule type="expression" dxfId="291" priority="454">
      <formula>$A131="-----"</formula>
    </cfRule>
  </conditionalFormatting>
  <conditionalFormatting sqref="E131:F131">
    <cfRule type="expression" dxfId="290" priority="453">
      <formula>$A131="-----"</formula>
    </cfRule>
  </conditionalFormatting>
  <conditionalFormatting sqref="G135">
    <cfRule type="cellIs" dxfId="289" priority="445" operator="equal">
      <formula>"Active"</formula>
    </cfRule>
  </conditionalFormatting>
  <conditionalFormatting sqref="D135">
    <cfRule type="expression" dxfId="288" priority="444">
      <formula>$A135="-----"</formula>
    </cfRule>
  </conditionalFormatting>
  <conditionalFormatting sqref="G136:G145">
    <cfRule type="cellIs" dxfId="287" priority="442" operator="equal">
      <formula>"Active"</formula>
    </cfRule>
  </conditionalFormatting>
  <conditionalFormatting sqref="E136:F136">
    <cfRule type="expression" dxfId="286" priority="440">
      <formula>$A$10="-----"</formula>
    </cfRule>
  </conditionalFormatting>
  <conditionalFormatting sqref="D137">
    <cfRule type="expression" dxfId="285" priority="439">
      <formula>$A137="-----"</formula>
    </cfRule>
  </conditionalFormatting>
  <conditionalFormatting sqref="E137:F137">
    <cfRule type="expression" dxfId="284" priority="438">
      <formula>$A137="-----"</formula>
    </cfRule>
  </conditionalFormatting>
  <conditionalFormatting sqref="D138">
    <cfRule type="expression" dxfId="283" priority="437">
      <formula>$A138="-----"</formula>
    </cfRule>
  </conditionalFormatting>
  <conditionalFormatting sqref="E138:F138">
    <cfRule type="expression" dxfId="282" priority="436">
      <formula>$A138="-----"</formula>
    </cfRule>
  </conditionalFormatting>
  <conditionalFormatting sqref="D139">
    <cfRule type="expression" dxfId="281" priority="435">
      <formula>$A139="-----"</formula>
    </cfRule>
  </conditionalFormatting>
  <conditionalFormatting sqref="E139:F139">
    <cfRule type="expression" dxfId="280" priority="434">
      <formula>$A139="-----"</formula>
    </cfRule>
  </conditionalFormatting>
  <conditionalFormatting sqref="D140">
    <cfRule type="expression" dxfId="279" priority="433">
      <formula>$A140="-----"</formula>
    </cfRule>
  </conditionalFormatting>
  <conditionalFormatting sqref="E140:F140">
    <cfRule type="expression" dxfId="278" priority="432">
      <formula>$A140="-----"</formula>
    </cfRule>
  </conditionalFormatting>
  <conditionalFormatting sqref="D141">
    <cfRule type="expression" dxfId="277" priority="431">
      <formula>$A141="-----"</formula>
    </cfRule>
  </conditionalFormatting>
  <conditionalFormatting sqref="E141:F141">
    <cfRule type="expression" dxfId="276" priority="430">
      <formula>$A141="-----"</formula>
    </cfRule>
  </conditionalFormatting>
  <conditionalFormatting sqref="D142">
    <cfRule type="expression" dxfId="275" priority="429">
      <formula>$A142="-----"</formula>
    </cfRule>
  </conditionalFormatting>
  <conditionalFormatting sqref="E142:F142">
    <cfRule type="expression" dxfId="274" priority="428">
      <formula>$A142="-----"</formula>
    </cfRule>
  </conditionalFormatting>
  <conditionalFormatting sqref="D143">
    <cfRule type="expression" dxfId="273" priority="427">
      <formula>$A143="-----"</formula>
    </cfRule>
  </conditionalFormatting>
  <conditionalFormatting sqref="E143:F143">
    <cfRule type="expression" dxfId="272" priority="426">
      <formula>$A143="-----"</formula>
    </cfRule>
  </conditionalFormatting>
  <conditionalFormatting sqref="D144">
    <cfRule type="expression" dxfId="271" priority="425">
      <formula>$A144="-----"</formula>
    </cfRule>
  </conditionalFormatting>
  <conditionalFormatting sqref="E144:F144">
    <cfRule type="expression" dxfId="270" priority="424">
      <formula>$A144="-----"</formula>
    </cfRule>
  </conditionalFormatting>
  <conditionalFormatting sqref="D145">
    <cfRule type="expression" dxfId="269" priority="423">
      <formula>$A145="-----"</formula>
    </cfRule>
  </conditionalFormatting>
  <conditionalFormatting sqref="E145:F145">
    <cfRule type="expression" dxfId="268" priority="422">
      <formula>$A145="-----"</formula>
    </cfRule>
  </conditionalFormatting>
  <conditionalFormatting sqref="G149">
    <cfRule type="cellIs" dxfId="267" priority="414" operator="equal">
      <formula>"Active"</formula>
    </cfRule>
  </conditionalFormatting>
  <conditionalFormatting sqref="D149">
    <cfRule type="expression" dxfId="266" priority="413">
      <formula>$A149="-----"</formula>
    </cfRule>
  </conditionalFormatting>
  <conditionalFormatting sqref="D154">
    <cfRule type="expression" dxfId="265" priority="389">
      <formula>$A$10="-----"</formula>
    </cfRule>
  </conditionalFormatting>
  <conditionalFormatting sqref="H154">
    <cfRule type="cellIs" dxfId="264" priority="384" operator="equal">
      <formula>"Due to the high performance score assign at least one additional KPA to Employee"</formula>
    </cfRule>
  </conditionalFormatting>
  <conditionalFormatting sqref="H152">
    <cfRule type="cellIs" dxfId="263" priority="383" operator="equal">
      <formula>"Due to the high performance score assign at least one additional KPA to Employee"</formula>
    </cfRule>
  </conditionalFormatting>
  <conditionalFormatting sqref="H155">
    <cfRule type="cellIs" dxfId="262" priority="382" operator="equal">
      <formula>"Due to the high performance score assign at least one additional KPA to Employee"</formula>
    </cfRule>
  </conditionalFormatting>
  <conditionalFormatting sqref="G208">
    <cfRule type="cellIs" dxfId="261" priority="355" operator="equal">
      <formula>"Active"</formula>
    </cfRule>
  </conditionalFormatting>
  <conditionalFormatting sqref="G209">
    <cfRule type="cellIs" dxfId="260" priority="354" operator="equal">
      <formula>"Active"</formula>
    </cfRule>
  </conditionalFormatting>
  <conditionalFormatting sqref="A23 A192:A194 A197:A206">
    <cfRule type="cellIs" dxfId="259" priority="336" operator="equal">
      <formula>"Print"</formula>
    </cfRule>
  </conditionalFormatting>
  <conditionalFormatting sqref="A10">
    <cfRule type="cellIs" dxfId="258" priority="335" operator="equal">
      <formula>"Print"</formula>
    </cfRule>
  </conditionalFormatting>
  <conditionalFormatting sqref="A11">
    <cfRule type="cellIs" dxfId="257" priority="334" operator="equal">
      <formula>"Print"</formula>
    </cfRule>
  </conditionalFormatting>
  <conditionalFormatting sqref="A12">
    <cfRule type="cellIs" dxfId="256" priority="333" operator="equal">
      <formula>"Print"</formula>
    </cfRule>
  </conditionalFormatting>
  <conditionalFormatting sqref="A13">
    <cfRule type="cellIs" dxfId="255" priority="332" operator="equal">
      <formula>"Print"</formula>
    </cfRule>
  </conditionalFormatting>
  <conditionalFormatting sqref="A14">
    <cfRule type="cellIs" dxfId="254" priority="331" operator="equal">
      <formula>"Print"</formula>
    </cfRule>
  </conditionalFormatting>
  <conditionalFormatting sqref="A15">
    <cfRule type="cellIs" dxfId="253" priority="330" operator="equal">
      <formula>"Print"</formula>
    </cfRule>
  </conditionalFormatting>
  <conditionalFormatting sqref="A16">
    <cfRule type="cellIs" dxfId="252" priority="329" operator="equal">
      <formula>"Print"</formula>
    </cfRule>
  </conditionalFormatting>
  <conditionalFormatting sqref="A17">
    <cfRule type="cellIs" dxfId="251" priority="328" operator="equal">
      <formula>"Print"</formula>
    </cfRule>
  </conditionalFormatting>
  <conditionalFormatting sqref="A18">
    <cfRule type="cellIs" dxfId="250" priority="327" operator="equal">
      <formula>"Print"</formula>
    </cfRule>
  </conditionalFormatting>
  <conditionalFormatting sqref="A19">
    <cfRule type="cellIs" dxfId="249" priority="326" operator="equal">
      <formula>"Print"</formula>
    </cfRule>
  </conditionalFormatting>
  <conditionalFormatting sqref="A24">
    <cfRule type="cellIs" dxfId="248" priority="324" operator="equal">
      <formula>"Print"</formula>
    </cfRule>
  </conditionalFormatting>
  <conditionalFormatting sqref="A25">
    <cfRule type="cellIs" dxfId="247" priority="323" operator="equal">
      <formula>"Print"</formula>
    </cfRule>
  </conditionalFormatting>
  <conditionalFormatting sqref="A26">
    <cfRule type="cellIs" dxfId="246" priority="322" operator="equal">
      <formula>"Print"</formula>
    </cfRule>
  </conditionalFormatting>
  <conditionalFormatting sqref="A27">
    <cfRule type="cellIs" dxfId="245" priority="321" operator="equal">
      <formula>"Print"</formula>
    </cfRule>
  </conditionalFormatting>
  <conditionalFormatting sqref="A28">
    <cfRule type="cellIs" dxfId="244" priority="320" operator="equal">
      <formula>"Print"</formula>
    </cfRule>
  </conditionalFormatting>
  <conditionalFormatting sqref="A29">
    <cfRule type="cellIs" dxfId="243" priority="319" operator="equal">
      <formula>"Print"</formula>
    </cfRule>
  </conditionalFormatting>
  <conditionalFormatting sqref="A30">
    <cfRule type="cellIs" dxfId="242" priority="318" operator="equal">
      <formula>"Print"</formula>
    </cfRule>
  </conditionalFormatting>
  <conditionalFormatting sqref="A31">
    <cfRule type="cellIs" dxfId="241" priority="317" operator="equal">
      <formula>"Print"</formula>
    </cfRule>
  </conditionalFormatting>
  <conditionalFormatting sqref="A32">
    <cfRule type="cellIs" dxfId="240" priority="316" operator="equal">
      <formula>"Print"</formula>
    </cfRule>
  </conditionalFormatting>
  <conditionalFormatting sqref="A33">
    <cfRule type="cellIs" dxfId="239" priority="315" operator="equal">
      <formula>"Print"</formula>
    </cfRule>
  </conditionalFormatting>
  <conditionalFormatting sqref="A37">
    <cfRule type="cellIs" dxfId="238" priority="314" operator="equal">
      <formula>"Print"</formula>
    </cfRule>
  </conditionalFormatting>
  <conditionalFormatting sqref="A38">
    <cfRule type="cellIs" dxfId="237" priority="313" operator="equal">
      <formula>"Print"</formula>
    </cfRule>
  </conditionalFormatting>
  <conditionalFormatting sqref="A39">
    <cfRule type="cellIs" dxfId="236" priority="312" operator="equal">
      <formula>"Print"</formula>
    </cfRule>
  </conditionalFormatting>
  <conditionalFormatting sqref="A40">
    <cfRule type="cellIs" dxfId="235" priority="311" operator="equal">
      <formula>"Print"</formula>
    </cfRule>
  </conditionalFormatting>
  <conditionalFormatting sqref="A41">
    <cfRule type="cellIs" dxfId="234" priority="310" operator="equal">
      <formula>"Print"</formula>
    </cfRule>
  </conditionalFormatting>
  <conditionalFormatting sqref="A42">
    <cfRule type="cellIs" dxfId="233" priority="309" operator="equal">
      <formula>"Print"</formula>
    </cfRule>
  </conditionalFormatting>
  <conditionalFormatting sqref="A43">
    <cfRule type="cellIs" dxfId="232" priority="308" operator="equal">
      <formula>"Print"</formula>
    </cfRule>
  </conditionalFormatting>
  <conditionalFormatting sqref="A44">
    <cfRule type="cellIs" dxfId="231" priority="307" operator="equal">
      <formula>"Print"</formula>
    </cfRule>
  </conditionalFormatting>
  <conditionalFormatting sqref="A45">
    <cfRule type="cellIs" dxfId="230" priority="306" operator="equal">
      <formula>"Print"</formula>
    </cfRule>
  </conditionalFormatting>
  <conditionalFormatting sqref="A46">
    <cfRule type="cellIs" dxfId="229" priority="305" operator="equal">
      <formula>"Print"</formula>
    </cfRule>
  </conditionalFormatting>
  <conditionalFormatting sqref="A47">
    <cfRule type="cellIs" dxfId="228" priority="304" operator="equal">
      <formula>"Print"</formula>
    </cfRule>
  </conditionalFormatting>
  <conditionalFormatting sqref="A51">
    <cfRule type="cellIs" dxfId="227" priority="303" operator="equal">
      <formula>"Print"</formula>
    </cfRule>
  </conditionalFormatting>
  <conditionalFormatting sqref="A52">
    <cfRule type="cellIs" dxfId="226" priority="302" operator="equal">
      <formula>"Print"</formula>
    </cfRule>
  </conditionalFormatting>
  <conditionalFormatting sqref="A53">
    <cfRule type="cellIs" dxfId="225" priority="301" operator="equal">
      <formula>"Print"</formula>
    </cfRule>
  </conditionalFormatting>
  <conditionalFormatting sqref="A54">
    <cfRule type="cellIs" dxfId="224" priority="300" operator="equal">
      <formula>"Print"</formula>
    </cfRule>
  </conditionalFormatting>
  <conditionalFormatting sqref="A55">
    <cfRule type="cellIs" dxfId="223" priority="299" operator="equal">
      <formula>"Print"</formula>
    </cfRule>
  </conditionalFormatting>
  <conditionalFormatting sqref="A56">
    <cfRule type="cellIs" dxfId="222" priority="298" operator="equal">
      <formula>"Print"</formula>
    </cfRule>
  </conditionalFormatting>
  <conditionalFormatting sqref="A57">
    <cfRule type="cellIs" dxfId="221" priority="297" operator="equal">
      <formula>"Print"</formula>
    </cfRule>
  </conditionalFormatting>
  <conditionalFormatting sqref="A58">
    <cfRule type="cellIs" dxfId="220" priority="296" operator="equal">
      <formula>"Print"</formula>
    </cfRule>
  </conditionalFormatting>
  <conditionalFormatting sqref="A59">
    <cfRule type="cellIs" dxfId="219" priority="295" operator="equal">
      <formula>"Print"</formula>
    </cfRule>
  </conditionalFormatting>
  <conditionalFormatting sqref="A60">
    <cfRule type="cellIs" dxfId="218" priority="294" operator="equal">
      <formula>"Print"</formula>
    </cfRule>
  </conditionalFormatting>
  <conditionalFormatting sqref="A61">
    <cfRule type="cellIs" dxfId="217" priority="293" operator="equal">
      <formula>"Print"</formula>
    </cfRule>
  </conditionalFormatting>
  <conditionalFormatting sqref="A65">
    <cfRule type="cellIs" dxfId="216" priority="292" operator="equal">
      <formula>"Print"</formula>
    </cfRule>
  </conditionalFormatting>
  <conditionalFormatting sqref="A66">
    <cfRule type="cellIs" dxfId="215" priority="291" operator="equal">
      <formula>"Print"</formula>
    </cfRule>
  </conditionalFormatting>
  <conditionalFormatting sqref="A67">
    <cfRule type="cellIs" dxfId="214" priority="290" operator="equal">
      <formula>"Print"</formula>
    </cfRule>
  </conditionalFormatting>
  <conditionalFormatting sqref="A68">
    <cfRule type="cellIs" dxfId="213" priority="289" operator="equal">
      <formula>"Print"</formula>
    </cfRule>
  </conditionalFormatting>
  <conditionalFormatting sqref="A69">
    <cfRule type="cellIs" dxfId="212" priority="288" operator="equal">
      <formula>"Print"</formula>
    </cfRule>
  </conditionalFormatting>
  <conditionalFormatting sqref="A70">
    <cfRule type="cellIs" dxfId="211" priority="287" operator="equal">
      <formula>"Print"</formula>
    </cfRule>
  </conditionalFormatting>
  <conditionalFormatting sqref="A71">
    <cfRule type="cellIs" dxfId="210" priority="286" operator="equal">
      <formula>"Print"</formula>
    </cfRule>
  </conditionalFormatting>
  <conditionalFormatting sqref="A72">
    <cfRule type="cellIs" dxfId="209" priority="285" operator="equal">
      <formula>"Print"</formula>
    </cfRule>
  </conditionalFormatting>
  <conditionalFormatting sqref="A73">
    <cfRule type="cellIs" dxfId="208" priority="284" operator="equal">
      <formula>"Print"</formula>
    </cfRule>
  </conditionalFormatting>
  <conditionalFormatting sqref="A74">
    <cfRule type="cellIs" dxfId="207" priority="283" operator="equal">
      <formula>"Print"</formula>
    </cfRule>
  </conditionalFormatting>
  <conditionalFormatting sqref="A75">
    <cfRule type="cellIs" dxfId="206" priority="282" operator="equal">
      <formula>"Print"</formula>
    </cfRule>
  </conditionalFormatting>
  <conditionalFormatting sqref="A79">
    <cfRule type="cellIs" dxfId="205" priority="281" operator="equal">
      <formula>"Print"</formula>
    </cfRule>
  </conditionalFormatting>
  <conditionalFormatting sqref="A80">
    <cfRule type="cellIs" dxfId="204" priority="280" operator="equal">
      <formula>"Print"</formula>
    </cfRule>
  </conditionalFormatting>
  <conditionalFormatting sqref="A81">
    <cfRule type="cellIs" dxfId="203" priority="279" operator="equal">
      <formula>"Print"</formula>
    </cfRule>
  </conditionalFormatting>
  <conditionalFormatting sqref="A82">
    <cfRule type="cellIs" dxfId="202" priority="278" operator="equal">
      <formula>"Print"</formula>
    </cfRule>
  </conditionalFormatting>
  <conditionalFormatting sqref="A83">
    <cfRule type="cellIs" dxfId="201" priority="277" operator="equal">
      <formula>"Print"</formula>
    </cfRule>
  </conditionalFormatting>
  <conditionalFormatting sqref="A84">
    <cfRule type="cellIs" dxfId="200" priority="276" operator="equal">
      <formula>"Print"</formula>
    </cfRule>
  </conditionalFormatting>
  <conditionalFormatting sqref="A85">
    <cfRule type="cellIs" dxfId="199" priority="275" operator="equal">
      <formula>"Print"</formula>
    </cfRule>
  </conditionalFormatting>
  <conditionalFormatting sqref="A86">
    <cfRule type="cellIs" dxfId="198" priority="274" operator="equal">
      <formula>"Print"</formula>
    </cfRule>
  </conditionalFormatting>
  <conditionalFormatting sqref="A87">
    <cfRule type="cellIs" dxfId="197" priority="273" operator="equal">
      <formula>"Print"</formula>
    </cfRule>
  </conditionalFormatting>
  <conditionalFormatting sqref="A88">
    <cfRule type="cellIs" dxfId="196" priority="272" operator="equal">
      <formula>"Print"</formula>
    </cfRule>
  </conditionalFormatting>
  <conditionalFormatting sqref="A89">
    <cfRule type="cellIs" dxfId="195" priority="271" operator="equal">
      <formula>"Print"</formula>
    </cfRule>
  </conditionalFormatting>
  <conditionalFormatting sqref="A93">
    <cfRule type="cellIs" dxfId="194" priority="270" operator="equal">
      <formula>"Print"</formula>
    </cfRule>
  </conditionalFormatting>
  <conditionalFormatting sqref="A94">
    <cfRule type="cellIs" dxfId="193" priority="269" operator="equal">
      <formula>"Print"</formula>
    </cfRule>
  </conditionalFormatting>
  <conditionalFormatting sqref="A95">
    <cfRule type="cellIs" dxfId="192" priority="268" operator="equal">
      <formula>"Print"</formula>
    </cfRule>
  </conditionalFormatting>
  <conditionalFormatting sqref="A96">
    <cfRule type="cellIs" dxfId="191" priority="267" operator="equal">
      <formula>"Print"</formula>
    </cfRule>
  </conditionalFormatting>
  <conditionalFormatting sqref="A97">
    <cfRule type="cellIs" dxfId="190" priority="266" operator="equal">
      <formula>"Print"</formula>
    </cfRule>
  </conditionalFormatting>
  <conditionalFormatting sqref="A98">
    <cfRule type="cellIs" dxfId="189" priority="265" operator="equal">
      <formula>"Print"</formula>
    </cfRule>
  </conditionalFormatting>
  <conditionalFormatting sqref="A99">
    <cfRule type="cellIs" dxfId="188" priority="264" operator="equal">
      <formula>"Print"</formula>
    </cfRule>
  </conditionalFormatting>
  <conditionalFormatting sqref="A100">
    <cfRule type="cellIs" dxfId="187" priority="263" operator="equal">
      <formula>"Print"</formula>
    </cfRule>
  </conditionalFormatting>
  <conditionalFormatting sqref="A101">
    <cfRule type="cellIs" dxfId="186" priority="262" operator="equal">
      <formula>"Print"</formula>
    </cfRule>
  </conditionalFormatting>
  <conditionalFormatting sqref="A102">
    <cfRule type="cellIs" dxfId="185" priority="261" operator="equal">
      <formula>"Print"</formula>
    </cfRule>
  </conditionalFormatting>
  <conditionalFormatting sqref="A103">
    <cfRule type="cellIs" dxfId="184" priority="260" operator="equal">
      <formula>"Print"</formula>
    </cfRule>
  </conditionalFormatting>
  <conditionalFormatting sqref="A107">
    <cfRule type="cellIs" dxfId="183" priority="259" operator="equal">
      <formula>"Print"</formula>
    </cfRule>
  </conditionalFormatting>
  <conditionalFormatting sqref="A108">
    <cfRule type="cellIs" dxfId="182" priority="258" operator="equal">
      <formula>"Print"</formula>
    </cfRule>
  </conditionalFormatting>
  <conditionalFormatting sqref="A109">
    <cfRule type="cellIs" dxfId="181" priority="257" operator="equal">
      <formula>"Print"</formula>
    </cfRule>
  </conditionalFormatting>
  <conditionalFormatting sqref="A110">
    <cfRule type="cellIs" dxfId="180" priority="256" operator="equal">
      <formula>"Print"</formula>
    </cfRule>
  </conditionalFormatting>
  <conditionalFormatting sqref="A111">
    <cfRule type="cellIs" dxfId="179" priority="255" operator="equal">
      <formula>"Print"</formula>
    </cfRule>
  </conditionalFormatting>
  <conditionalFormatting sqref="A112">
    <cfRule type="cellIs" dxfId="178" priority="254" operator="equal">
      <formula>"Print"</formula>
    </cfRule>
  </conditionalFormatting>
  <conditionalFormatting sqref="A113">
    <cfRule type="cellIs" dxfId="177" priority="253" operator="equal">
      <formula>"Print"</formula>
    </cfRule>
  </conditionalFormatting>
  <conditionalFormatting sqref="A114">
    <cfRule type="cellIs" dxfId="176" priority="252" operator="equal">
      <formula>"Print"</formula>
    </cfRule>
  </conditionalFormatting>
  <conditionalFormatting sqref="A115">
    <cfRule type="cellIs" dxfId="175" priority="251" operator="equal">
      <formula>"Print"</formula>
    </cfRule>
  </conditionalFormatting>
  <conditionalFormatting sqref="A116">
    <cfRule type="cellIs" dxfId="174" priority="250" operator="equal">
      <formula>"Print"</formula>
    </cfRule>
  </conditionalFormatting>
  <conditionalFormatting sqref="A117">
    <cfRule type="cellIs" dxfId="173" priority="249" operator="equal">
      <formula>"Print"</formula>
    </cfRule>
  </conditionalFormatting>
  <conditionalFormatting sqref="A121">
    <cfRule type="cellIs" dxfId="172" priority="248" operator="equal">
      <formula>"Print"</formula>
    </cfRule>
  </conditionalFormatting>
  <conditionalFormatting sqref="A122">
    <cfRule type="cellIs" dxfId="171" priority="247" operator="equal">
      <formula>"Print"</formula>
    </cfRule>
  </conditionalFormatting>
  <conditionalFormatting sqref="A123">
    <cfRule type="cellIs" dxfId="170" priority="246" operator="equal">
      <formula>"Print"</formula>
    </cfRule>
  </conditionalFormatting>
  <conditionalFormatting sqref="A124">
    <cfRule type="cellIs" dxfId="169" priority="245" operator="equal">
      <formula>"Print"</formula>
    </cfRule>
  </conditionalFormatting>
  <conditionalFormatting sqref="A125">
    <cfRule type="cellIs" dxfId="168" priority="244" operator="equal">
      <formula>"Print"</formula>
    </cfRule>
  </conditionalFormatting>
  <conditionalFormatting sqref="A126">
    <cfRule type="cellIs" dxfId="167" priority="243" operator="equal">
      <formula>"Print"</formula>
    </cfRule>
  </conditionalFormatting>
  <conditionalFormatting sqref="A127">
    <cfRule type="cellIs" dxfId="166" priority="242" operator="equal">
      <formula>"Print"</formula>
    </cfRule>
  </conditionalFormatting>
  <conditionalFormatting sqref="A128">
    <cfRule type="cellIs" dxfId="165" priority="241" operator="equal">
      <formula>"Print"</formula>
    </cfRule>
  </conditionalFormatting>
  <conditionalFormatting sqref="A129">
    <cfRule type="cellIs" dxfId="164" priority="240" operator="equal">
      <formula>"Print"</formula>
    </cfRule>
  </conditionalFormatting>
  <conditionalFormatting sqref="A130">
    <cfRule type="cellIs" dxfId="163" priority="239" operator="equal">
      <formula>"Print"</formula>
    </cfRule>
  </conditionalFormatting>
  <conditionalFormatting sqref="A131">
    <cfRule type="cellIs" dxfId="162" priority="238" operator="equal">
      <formula>"Print"</formula>
    </cfRule>
  </conditionalFormatting>
  <conditionalFormatting sqref="A135">
    <cfRule type="cellIs" dxfId="161" priority="237" operator="equal">
      <formula>"Print"</formula>
    </cfRule>
  </conditionalFormatting>
  <conditionalFormatting sqref="A136">
    <cfRule type="cellIs" dxfId="160" priority="236" operator="equal">
      <formula>"Print"</formula>
    </cfRule>
  </conditionalFormatting>
  <conditionalFormatting sqref="A137">
    <cfRule type="cellIs" dxfId="159" priority="235" operator="equal">
      <formula>"Print"</formula>
    </cfRule>
  </conditionalFormatting>
  <conditionalFormatting sqref="A138">
    <cfRule type="cellIs" dxfId="158" priority="234" operator="equal">
      <formula>"Print"</formula>
    </cfRule>
  </conditionalFormatting>
  <conditionalFormatting sqref="A139">
    <cfRule type="cellIs" dxfId="157" priority="233" operator="equal">
      <formula>"Print"</formula>
    </cfRule>
  </conditionalFormatting>
  <conditionalFormatting sqref="A140">
    <cfRule type="cellIs" dxfId="156" priority="232" operator="equal">
      <formula>"Print"</formula>
    </cfRule>
  </conditionalFormatting>
  <conditionalFormatting sqref="A141">
    <cfRule type="cellIs" dxfId="155" priority="231" operator="equal">
      <formula>"Print"</formula>
    </cfRule>
  </conditionalFormatting>
  <conditionalFormatting sqref="A142">
    <cfRule type="cellIs" dxfId="154" priority="230" operator="equal">
      <formula>"Print"</formula>
    </cfRule>
  </conditionalFormatting>
  <conditionalFormatting sqref="A143">
    <cfRule type="cellIs" dxfId="153" priority="229" operator="equal">
      <formula>"Print"</formula>
    </cfRule>
  </conditionalFormatting>
  <conditionalFormatting sqref="A144">
    <cfRule type="cellIs" dxfId="152" priority="228" operator="equal">
      <formula>"Print"</formula>
    </cfRule>
  </conditionalFormatting>
  <conditionalFormatting sqref="A145">
    <cfRule type="cellIs" dxfId="151" priority="227" operator="equal">
      <formula>"Print"</formula>
    </cfRule>
  </conditionalFormatting>
  <conditionalFormatting sqref="A149">
    <cfRule type="cellIs" dxfId="150" priority="226" operator="equal">
      <formula>"Print"</formula>
    </cfRule>
  </conditionalFormatting>
  <conditionalFormatting sqref="A150">
    <cfRule type="cellIs" dxfId="149" priority="225" operator="equal">
      <formula>"Print"</formula>
    </cfRule>
  </conditionalFormatting>
  <conditionalFormatting sqref="A151">
    <cfRule type="cellIs" dxfId="148" priority="224" operator="equal">
      <formula>"Print"</formula>
    </cfRule>
  </conditionalFormatting>
  <conditionalFormatting sqref="A153">
    <cfRule type="cellIs" dxfId="147" priority="223" operator="equal">
      <formula>"Print"</formula>
    </cfRule>
  </conditionalFormatting>
  <conditionalFormatting sqref="A164">
    <cfRule type="cellIs" dxfId="146" priority="222" operator="equal">
      <formula>"Print"</formula>
    </cfRule>
  </conditionalFormatting>
  <conditionalFormatting sqref="A187">
    <cfRule type="cellIs" dxfId="145" priority="219" operator="equal">
      <formula>"Print"</formula>
    </cfRule>
  </conditionalFormatting>
  <conditionalFormatting sqref="A188">
    <cfRule type="cellIs" dxfId="144" priority="218" operator="equal">
      <formula>"Print"</formula>
    </cfRule>
  </conditionalFormatting>
  <conditionalFormatting sqref="A189">
    <cfRule type="cellIs" dxfId="143" priority="217" operator="equal">
      <formula>"Print"</formula>
    </cfRule>
  </conditionalFormatting>
  <conditionalFormatting sqref="A190">
    <cfRule type="cellIs" dxfId="142" priority="216" operator="equal">
      <formula>"Print"</formula>
    </cfRule>
  </conditionalFormatting>
  <conditionalFormatting sqref="A191">
    <cfRule type="cellIs" dxfId="141" priority="215" operator="equal">
      <formula>"Print"</formula>
    </cfRule>
  </conditionalFormatting>
  <conditionalFormatting sqref="A207">
    <cfRule type="cellIs" dxfId="140" priority="202" operator="equal">
      <formula>"Print"</formula>
    </cfRule>
  </conditionalFormatting>
  <conditionalFormatting sqref="A208">
    <cfRule type="cellIs" dxfId="139" priority="201" operator="equal">
      <formula>"Print"</formula>
    </cfRule>
  </conditionalFormatting>
  <conditionalFormatting sqref="A209">
    <cfRule type="cellIs" dxfId="138" priority="200" operator="equal">
      <formula>"Print"</formula>
    </cfRule>
  </conditionalFormatting>
  <conditionalFormatting sqref="A211">
    <cfRule type="cellIs" dxfId="137" priority="199" operator="equal">
      <formula>"Print"</formula>
    </cfRule>
  </conditionalFormatting>
  <conditionalFormatting sqref="A215">
    <cfRule type="cellIs" dxfId="136" priority="198" operator="equal">
      <formula>"Print"</formula>
    </cfRule>
  </conditionalFormatting>
  <conditionalFormatting sqref="A216">
    <cfRule type="cellIs" dxfId="135" priority="197" operator="equal">
      <formula>"Print"</formula>
    </cfRule>
  </conditionalFormatting>
  <conditionalFormatting sqref="A20">
    <cfRule type="cellIs" dxfId="134" priority="196" operator="equal">
      <formula>"Print"</formula>
    </cfRule>
  </conditionalFormatting>
  <conditionalFormatting sqref="A21">
    <cfRule type="cellIs" dxfId="133" priority="195" operator="equal">
      <formula>"Print"</formula>
    </cfRule>
  </conditionalFormatting>
  <conditionalFormatting sqref="A22">
    <cfRule type="cellIs" dxfId="132" priority="194" operator="equal">
      <formula>"Print"</formula>
    </cfRule>
  </conditionalFormatting>
  <conditionalFormatting sqref="G34:G36">
    <cfRule type="cellIs" dxfId="131" priority="193" operator="equal">
      <formula>"Active"</formula>
    </cfRule>
  </conditionalFormatting>
  <conditionalFormatting sqref="D34">
    <cfRule type="expression" dxfId="130" priority="192">
      <formula>$A34="-----"</formula>
    </cfRule>
  </conditionalFormatting>
  <conditionalFormatting sqref="E34:F34">
    <cfRule type="expression" priority="191">
      <formula>$A34="-----"</formula>
    </cfRule>
  </conditionalFormatting>
  <conditionalFormatting sqref="D35">
    <cfRule type="expression" dxfId="129" priority="190">
      <formula>$A35="-----"</formula>
    </cfRule>
  </conditionalFormatting>
  <conditionalFormatting sqref="E35:F35">
    <cfRule type="expression" priority="189">
      <formula>$A35="-----"</formula>
    </cfRule>
  </conditionalFormatting>
  <conditionalFormatting sqref="D36">
    <cfRule type="expression" dxfId="128" priority="188">
      <formula>$A36="-----"</formula>
    </cfRule>
  </conditionalFormatting>
  <conditionalFormatting sqref="E36:F36">
    <cfRule type="expression" priority="187">
      <formula>$A36="-----"</formula>
    </cfRule>
  </conditionalFormatting>
  <conditionalFormatting sqref="A34">
    <cfRule type="cellIs" dxfId="127" priority="186" operator="equal">
      <formula>"Print"</formula>
    </cfRule>
  </conditionalFormatting>
  <conditionalFormatting sqref="A35">
    <cfRule type="cellIs" dxfId="126" priority="185" operator="equal">
      <formula>"Print"</formula>
    </cfRule>
  </conditionalFormatting>
  <conditionalFormatting sqref="A36">
    <cfRule type="cellIs" dxfId="125" priority="184" operator="equal">
      <formula>"Print"</formula>
    </cfRule>
  </conditionalFormatting>
  <conditionalFormatting sqref="G48:G50">
    <cfRule type="cellIs" dxfId="124" priority="183" operator="equal">
      <formula>"Active"</formula>
    </cfRule>
  </conditionalFormatting>
  <conditionalFormatting sqref="D48">
    <cfRule type="expression" dxfId="123" priority="182">
      <formula>$A48="-----"</formula>
    </cfRule>
  </conditionalFormatting>
  <conditionalFormatting sqref="E48:F48">
    <cfRule type="expression" priority="181">
      <formula>$A48="-----"</formula>
    </cfRule>
  </conditionalFormatting>
  <conditionalFormatting sqref="D49">
    <cfRule type="expression" dxfId="122" priority="180">
      <formula>$A49="-----"</formula>
    </cfRule>
  </conditionalFormatting>
  <conditionalFormatting sqref="E49:F49">
    <cfRule type="expression" priority="179">
      <formula>$A49="-----"</formula>
    </cfRule>
  </conditionalFormatting>
  <conditionalFormatting sqref="D50">
    <cfRule type="expression" dxfId="121" priority="178">
      <formula>$A50="-----"</formula>
    </cfRule>
  </conditionalFormatting>
  <conditionalFormatting sqref="E50:F50">
    <cfRule type="expression" priority="177">
      <formula>$A50="-----"</formula>
    </cfRule>
  </conditionalFormatting>
  <conditionalFormatting sqref="A48">
    <cfRule type="cellIs" dxfId="120" priority="176" operator="equal">
      <formula>"Print"</formula>
    </cfRule>
  </conditionalFormatting>
  <conditionalFormatting sqref="A49">
    <cfRule type="cellIs" dxfId="119" priority="175" operator="equal">
      <formula>"Print"</formula>
    </cfRule>
  </conditionalFormatting>
  <conditionalFormatting sqref="A50">
    <cfRule type="cellIs" dxfId="118" priority="174" operator="equal">
      <formula>"Print"</formula>
    </cfRule>
  </conditionalFormatting>
  <conditionalFormatting sqref="G62:G64">
    <cfRule type="cellIs" dxfId="117" priority="173" operator="equal">
      <formula>"Active"</formula>
    </cfRule>
  </conditionalFormatting>
  <conditionalFormatting sqref="D62">
    <cfRule type="expression" dxfId="116" priority="172">
      <formula>$A62="-----"</formula>
    </cfRule>
  </conditionalFormatting>
  <conditionalFormatting sqref="E62:F62">
    <cfRule type="expression" priority="171">
      <formula>$A62="-----"</formula>
    </cfRule>
  </conditionalFormatting>
  <conditionalFormatting sqref="D63">
    <cfRule type="expression" dxfId="115" priority="170">
      <formula>$A63="-----"</formula>
    </cfRule>
  </conditionalFormatting>
  <conditionalFormatting sqref="E63:F63">
    <cfRule type="expression" priority="169">
      <formula>$A63="-----"</formula>
    </cfRule>
  </conditionalFormatting>
  <conditionalFormatting sqref="D64">
    <cfRule type="expression" dxfId="114" priority="168">
      <formula>$A64="-----"</formula>
    </cfRule>
  </conditionalFormatting>
  <conditionalFormatting sqref="E64:F64">
    <cfRule type="expression" priority="167">
      <formula>$A64="-----"</formula>
    </cfRule>
  </conditionalFormatting>
  <conditionalFormatting sqref="A62">
    <cfRule type="cellIs" dxfId="113" priority="166" operator="equal">
      <formula>"Print"</formula>
    </cfRule>
  </conditionalFormatting>
  <conditionalFormatting sqref="A63">
    <cfRule type="cellIs" dxfId="112" priority="165" operator="equal">
      <formula>"Print"</formula>
    </cfRule>
  </conditionalFormatting>
  <conditionalFormatting sqref="A64">
    <cfRule type="cellIs" dxfId="111" priority="164" operator="equal">
      <formula>"Print"</formula>
    </cfRule>
  </conditionalFormatting>
  <conditionalFormatting sqref="G76:G78">
    <cfRule type="cellIs" dxfId="110" priority="163" operator="equal">
      <formula>"Active"</formula>
    </cfRule>
  </conditionalFormatting>
  <conditionalFormatting sqref="D76">
    <cfRule type="expression" dxfId="109" priority="162">
      <formula>$A76="-----"</formula>
    </cfRule>
  </conditionalFormatting>
  <conditionalFormatting sqref="E76:F76">
    <cfRule type="expression" priority="161">
      <formula>$A76="-----"</formula>
    </cfRule>
  </conditionalFormatting>
  <conditionalFormatting sqref="D77">
    <cfRule type="expression" dxfId="108" priority="160">
      <formula>$A77="-----"</formula>
    </cfRule>
  </conditionalFormatting>
  <conditionalFormatting sqref="E77:F77">
    <cfRule type="expression" priority="159">
      <formula>$A77="-----"</formula>
    </cfRule>
  </conditionalFormatting>
  <conditionalFormatting sqref="D78">
    <cfRule type="expression" dxfId="107" priority="158">
      <formula>$A78="-----"</formula>
    </cfRule>
  </conditionalFormatting>
  <conditionalFormatting sqref="E78:F78">
    <cfRule type="expression" priority="157">
      <formula>$A78="-----"</formula>
    </cfRule>
  </conditionalFormatting>
  <conditionalFormatting sqref="A76">
    <cfRule type="cellIs" dxfId="106" priority="156" operator="equal">
      <formula>"Print"</formula>
    </cfRule>
  </conditionalFormatting>
  <conditionalFormatting sqref="A77">
    <cfRule type="cellIs" dxfId="105" priority="155" operator="equal">
      <formula>"Print"</formula>
    </cfRule>
  </conditionalFormatting>
  <conditionalFormatting sqref="A78">
    <cfRule type="cellIs" dxfId="104" priority="154" operator="equal">
      <formula>"Print"</formula>
    </cfRule>
  </conditionalFormatting>
  <conditionalFormatting sqref="G90:G92">
    <cfRule type="cellIs" dxfId="103" priority="153" operator="equal">
      <formula>"Active"</formula>
    </cfRule>
  </conditionalFormatting>
  <conditionalFormatting sqref="D90">
    <cfRule type="expression" dxfId="102" priority="152">
      <formula>$A90="-----"</formula>
    </cfRule>
  </conditionalFormatting>
  <conditionalFormatting sqref="E90:F90">
    <cfRule type="expression" priority="151">
      <formula>$A90="-----"</formula>
    </cfRule>
  </conditionalFormatting>
  <conditionalFormatting sqref="D91">
    <cfRule type="expression" dxfId="101" priority="150">
      <formula>$A91="-----"</formula>
    </cfRule>
  </conditionalFormatting>
  <conditionalFormatting sqref="E91:F91">
    <cfRule type="expression" priority="149">
      <formula>$A91="-----"</formula>
    </cfRule>
  </conditionalFormatting>
  <conditionalFormatting sqref="D92">
    <cfRule type="expression" dxfId="100" priority="148">
      <formula>$A92="-----"</formula>
    </cfRule>
  </conditionalFormatting>
  <conditionalFormatting sqref="E92:F92">
    <cfRule type="expression" priority="147">
      <formula>$A92="-----"</formula>
    </cfRule>
  </conditionalFormatting>
  <conditionalFormatting sqref="A90">
    <cfRule type="cellIs" dxfId="99" priority="146" operator="equal">
      <formula>"Print"</formula>
    </cfRule>
  </conditionalFormatting>
  <conditionalFormatting sqref="A91">
    <cfRule type="cellIs" dxfId="98" priority="145" operator="equal">
      <formula>"Print"</formula>
    </cfRule>
  </conditionalFormatting>
  <conditionalFormatting sqref="A92">
    <cfRule type="cellIs" dxfId="97" priority="144" operator="equal">
      <formula>"Print"</formula>
    </cfRule>
  </conditionalFormatting>
  <conditionalFormatting sqref="G104:G106">
    <cfRule type="cellIs" dxfId="96" priority="143" operator="equal">
      <formula>"Active"</formula>
    </cfRule>
  </conditionalFormatting>
  <conditionalFormatting sqref="D104">
    <cfRule type="expression" dxfId="95" priority="142">
      <formula>$A104="-----"</formula>
    </cfRule>
  </conditionalFormatting>
  <conditionalFormatting sqref="E104:F104">
    <cfRule type="expression" priority="141">
      <formula>$A104="-----"</formula>
    </cfRule>
  </conditionalFormatting>
  <conditionalFormatting sqref="D105">
    <cfRule type="expression" dxfId="94" priority="140">
      <formula>$A105="-----"</formula>
    </cfRule>
  </conditionalFormatting>
  <conditionalFormatting sqref="E105:F105">
    <cfRule type="expression" priority="139">
      <formula>$A105="-----"</formula>
    </cfRule>
  </conditionalFormatting>
  <conditionalFormatting sqref="D106">
    <cfRule type="expression" dxfId="93" priority="138">
      <formula>$A106="-----"</formula>
    </cfRule>
  </conditionalFormatting>
  <conditionalFormatting sqref="E106:F106">
    <cfRule type="expression" priority="137">
      <formula>$A106="-----"</formula>
    </cfRule>
  </conditionalFormatting>
  <conditionalFormatting sqref="A104">
    <cfRule type="cellIs" dxfId="92" priority="136" operator="equal">
      <formula>"Print"</formula>
    </cfRule>
  </conditionalFormatting>
  <conditionalFormatting sqref="A105">
    <cfRule type="cellIs" dxfId="91" priority="135" operator="equal">
      <formula>"Print"</formula>
    </cfRule>
  </conditionalFormatting>
  <conditionalFormatting sqref="A106">
    <cfRule type="cellIs" dxfId="90" priority="134" operator="equal">
      <formula>"Print"</formula>
    </cfRule>
  </conditionalFormatting>
  <conditionalFormatting sqref="G118:G120">
    <cfRule type="cellIs" dxfId="89" priority="133" operator="equal">
      <formula>"Active"</formula>
    </cfRule>
  </conditionalFormatting>
  <conditionalFormatting sqref="D118">
    <cfRule type="expression" dxfId="88" priority="132">
      <formula>$A118="-----"</formula>
    </cfRule>
  </conditionalFormatting>
  <conditionalFormatting sqref="E118:F118">
    <cfRule type="expression" priority="131">
      <formula>$A118="-----"</formula>
    </cfRule>
  </conditionalFormatting>
  <conditionalFormatting sqref="D119">
    <cfRule type="expression" dxfId="87" priority="130">
      <formula>$A119="-----"</formula>
    </cfRule>
  </conditionalFormatting>
  <conditionalFormatting sqref="E119:F119">
    <cfRule type="expression" priority="129">
      <formula>$A119="-----"</formula>
    </cfRule>
  </conditionalFormatting>
  <conditionalFormatting sqref="D120">
    <cfRule type="expression" dxfId="86" priority="128">
      <formula>$A120="-----"</formula>
    </cfRule>
  </conditionalFormatting>
  <conditionalFormatting sqref="E120:F120">
    <cfRule type="expression" priority="127">
      <formula>$A120="-----"</formula>
    </cfRule>
  </conditionalFormatting>
  <conditionalFormatting sqref="A118">
    <cfRule type="cellIs" dxfId="85" priority="126" operator="equal">
      <formula>"Print"</formula>
    </cfRule>
  </conditionalFormatting>
  <conditionalFormatting sqref="A119">
    <cfRule type="cellIs" dxfId="84" priority="125" operator="equal">
      <formula>"Print"</formula>
    </cfRule>
  </conditionalFormatting>
  <conditionalFormatting sqref="A120">
    <cfRule type="cellIs" dxfId="83" priority="124" operator="equal">
      <formula>"Print"</formula>
    </cfRule>
  </conditionalFormatting>
  <conditionalFormatting sqref="G132:G134">
    <cfRule type="cellIs" dxfId="82" priority="123" operator="equal">
      <formula>"Active"</formula>
    </cfRule>
  </conditionalFormatting>
  <conditionalFormatting sqref="D132">
    <cfRule type="expression" dxfId="81" priority="122">
      <formula>$A132="-----"</formula>
    </cfRule>
  </conditionalFormatting>
  <conditionalFormatting sqref="E132:F132">
    <cfRule type="expression" priority="121">
      <formula>$A132="-----"</formula>
    </cfRule>
  </conditionalFormatting>
  <conditionalFormatting sqref="D133">
    <cfRule type="expression" dxfId="80" priority="120">
      <formula>$A133="-----"</formula>
    </cfRule>
  </conditionalFormatting>
  <conditionalFormatting sqref="E133:F133">
    <cfRule type="expression" priority="119">
      <formula>$A133="-----"</formula>
    </cfRule>
  </conditionalFormatting>
  <conditionalFormatting sqref="D134">
    <cfRule type="expression" dxfId="79" priority="118">
      <formula>$A134="-----"</formula>
    </cfRule>
  </conditionalFormatting>
  <conditionalFormatting sqref="E134:F134">
    <cfRule type="expression" priority="117">
      <formula>$A134="-----"</formula>
    </cfRule>
  </conditionalFormatting>
  <conditionalFormatting sqref="A132">
    <cfRule type="cellIs" dxfId="78" priority="116" operator="equal">
      <formula>"Print"</formula>
    </cfRule>
  </conditionalFormatting>
  <conditionalFormatting sqref="A133">
    <cfRule type="cellIs" dxfId="77" priority="115" operator="equal">
      <formula>"Print"</formula>
    </cfRule>
  </conditionalFormatting>
  <conditionalFormatting sqref="A134">
    <cfRule type="cellIs" dxfId="76" priority="114" operator="equal">
      <formula>"Print"</formula>
    </cfRule>
  </conditionalFormatting>
  <conditionalFormatting sqref="G146:G148">
    <cfRule type="cellIs" dxfId="75" priority="113" operator="equal">
      <formula>"Active"</formula>
    </cfRule>
  </conditionalFormatting>
  <conditionalFormatting sqref="D146">
    <cfRule type="expression" dxfId="74" priority="112">
      <formula>$A146="-----"</formula>
    </cfRule>
  </conditionalFormatting>
  <conditionalFormatting sqref="E146:F146">
    <cfRule type="expression" priority="111">
      <formula>$A146="-----"</formula>
    </cfRule>
  </conditionalFormatting>
  <conditionalFormatting sqref="D147">
    <cfRule type="expression" dxfId="73" priority="110">
      <formula>$A147="-----"</formula>
    </cfRule>
  </conditionalFormatting>
  <conditionalFormatting sqref="E147:F147">
    <cfRule type="expression" priority="109">
      <formula>$A147="-----"</formula>
    </cfRule>
  </conditionalFormatting>
  <conditionalFormatting sqref="D148">
    <cfRule type="expression" dxfId="72" priority="108">
      <formula>$A148="-----"</formula>
    </cfRule>
  </conditionalFormatting>
  <conditionalFormatting sqref="E148:F148">
    <cfRule type="expression" priority="107">
      <formula>$A148="-----"</formula>
    </cfRule>
  </conditionalFormatting>
  <conditionalFormatting sqref="A146">
    <cfRule type="cellIs" dxfId="71" priority="106" operator="equal">
      <formula>"Print"</formula>
    </cfRule>
  </conditionalFormatting>
  <conditionalFormatting sqref="A147">
    <cfRule type="cellIs" dxfId="70" priority="105" operator="equal">
      <formula>"Print"</formula>
    </cfRule>
  </conditionalFormatting>
  <conditionalFormatting sqref="A148">
    <cfRule type="cellIs" dxfId="69" priority="104" operator="equal">
      <formula>"Print"</formula>
    </cfRule>
  </conditionalFormatting>
  <conditionalFormatting sqref="D166">
    <cfRule type="expression" dxfId="68" priority="92">
      <formula>A166="Inactive"</formula>
    </cfRule>
  </conditionalFormatting>
  <conditionalFormatting sqref="D167">
    <cfRule type="expression" dxfId="67" priority="91">
      <formula>A167="Inactive"</formula>
    </cfRule>
  </conditionalFormatting>
  <conditionalFormatting sqref="D168:D174">
    <cfRule type="expression" dxfId="66" priority="90">
      <formula>A168="Inactive"</formula>
    </cfRule>
  </conditionalFormatting>
  <conditionalFormatting sqref="G175">
    <cfRule type="cellIs" dxfId="65" priority="89" operator="equal">
      <formula>"Active"</formula>
    </cfRule>
  </conditionalFormatting>
  <conditionalFormatting sqref="G165:G174">
    <cfRule type="cellIs" dxfId="64" priority="88" operator="equal">
      <formula>"Active"</formula>
    </cfRule>
  </conditionalFormatting>
  <conditionalFormatting sqref="D165">
    <cfRule type="expression" dxfId="63" priority="87">
      <formula>$A$10="-----"</formula>
    </cfRule>
  </conditionalFormatting>
  <conditionalFormatting sqref="A175">
    <cfRule type="cellIs" dxfId="62" priority="84" operator="equal">
      <formula>"Print"</formula>
    </cfRule>
  </conditionalFormatting>
  <conditionalFormatting sqref="D177">
    <cfRule type="expression" dxfId="61" priority="73">
      <formula>A177="Inactive"</formula>
    </cfRule>
  </conditionalFormatting>
  <conditionalFormatting sqref="D178">
    <cfRule type="expression" dxfId="60" priority="72">
      <formula>A178="Inactive"</formula>
    </cfRule>
  </conditionalFormatting>
  <conditionalFormatting sqref="D179:D185">
    <cfRule type="expression" dxfId="59" priority="71">
      <formula>A179="Inactive"</formula>
    </cfRule>
  </conditionalFormatting>
  <conditionalFormatting sqref="G186">
    <cfRule type="cellIs" dxfId="58" priority="70" operator="equal">
      <formula>"Active"</formula>
    </cfRule>
  </conditionalFormatting>
  <conditionalFormatting sqref="G176:G185">
    <cfRule type="cellIs" dxfId="57" priority="69" operator="equal">
      <formula>"Active"</formula>
    </cfRule>
  </conditionalFormatting>
  <conditionalFormatting sqref="D176">
    <cfRule type="expression" dxfId="56" priority="68">
      <formula>$A$10="-----"</formula>
    </cfRule>
  </conditionalFormatting>
  <conditionalFormatting sqref="A186">
    <cfRule type="cellIs" dxfId="55" priority="67" operator="equal">
      <formula>"Print"</formula>
    </cfRule>
  </conditionalFormatting>
  <conditionalFormatting sqref="D24">
    <cfRule type="expression" dxfId="54" priority="53">
      <formula>$A24="-----"</formula>
    </cfRule>
  </conditionalFormatting>
  <conditionalFormatting sqref="D38">
    <cfRule type="expression" dxfId="53" priority="52">
      <formula>$A38="-----"</formula>
    </cfRule>
  </conditionalFormatting>
  <conditionalFormatting sqref="D52">
    <cfRule type="expression" dxfId="52" priority="51">
      <formula>$A52="-----"</formula>
    </cfRule>
  </conditionalFormatting>
  <conditionalFormatting sqref="D66">
    <cfRule type="expression" dxfId="51" priority="50">
      <formula>$A66="-----"</formula>
    </cfRule>
  </conditionalFormatting>
  <conditionalFormatting sqref="D80">
    <cfRule type="expression" dxfId="50" priority="49">
      <formula>$A80="-----"</formula>
    </cfRule>
  </conditionalFormatting>
  <conditionalFormatting sqref="D94">
    <cfRule type="expression" dxfId="49" priority="48">
      <formula>$A94="-----"</formula>
    </cfRule>
  </conditionalFormatting>
  <conditionalFormatting sqref="D108">
    <cfRule type="expression" dxfId="48" priority="47">
      <formula>$A108="-----"</formula>
    </cfRule>
  </conditionalFormatting>
  <conditionalFormatting sqref="D122">
    <cfRule type="expression" dxfId="47" priority="46">
      <formula>$A122="-----"</formula>
    </cfRule>
  </conditionalFormatting>
  <conditionalFormatting sqref="D136">
    <cfRule type="expression" dxfId="46" priority="45">
      <formula>$A136="-----"</formula>
    </cfRule>
  </conditionalFormatting>
  <conditionalFormatting sqref="A152">
    <cfRule type="cellIs" dxfId="45" priority="44" operator="equal">
      <formula>"Print"</formula>
    </cfRule>
  </conditionalFormatting>
  <conditionalFormatting sqref="A154">
    <cfRule type="cellIs" dxfId="44" priority="43" operator="equal">
      <formula>"Print"</formula>
    </cfRule>
  </conditionalFormatting>
  <conditionalFormatting sqref="A155">
    <cfRule type="cellIs" dxfId="43" priority="42" operator="equal">
      <formula>"Print"</formula>
    </cfRule>
  </conditionalFormatting>
  <conditionalFormatting sqref="A156">
    <cfRule type="cellIs" dxfId="42" priority="41" operator="equal">
      <formula>"Print"</formula>
    </cfRule>
  </conditionalFormatting>
  <conditionalFormatting sqref="A157">
    <cfRule type="cellIs" dxfId="41" priority="40" operator="equal">
      <formula>"Print"</formula>
    </cfRule>
  </conditionalFormatting>
  <conditionalFormatting sqref="A158">
    <cfRule type="cellIs" dxfId="40" priority="39" operator="equal">
      <formula>"Print"</formula>
    </cfRule>
  </conditionalFormatting>
  <conditionalFormatting sqref="A159">
    <cfRule type="cellIs" dxfId="39" priority="38" operator="equal">
      <formula>"Print"</formula>
    </cfRule>
  </conditionalFormatting>
  <conditionalFormatting sqref="A160">
    <cfRule type="cellIs" dxfId="38" priority="37" operator="equal">
      <formula>"Print"</formula>
    </cfRule>
  </conditionalFormatting>
  <conditionalFormatting sqref="A161">
    <cfRule type="cellIs" dxfId="37" priority="36" operator="equal">
      <formula>"Print"</formula>
    </cfRule>
  </conditionalFormatting>
  <conditionalFormatting sqref="A162">
    <cfRule type="cellIs" dxfId="36" priority="35" operator="equal">
      <formula>"Print"</formula>
    </cfRule>
  </conditionalFormatting>
  <conditionalFormatting sqref="A163">
    <cfRule type="cellIs" dxfId="35" priority="34" operator="equal">
      <formula>"Print"</formula>
    </cfRule>
  </conditionalFormatting>
  <conditionalFormatting sqref="A165">
    <cfRule type="cellIs" dxfId="34" priority="33" operator="equal">
      <formula>"Print"</formula>
    </cfRule>
  </conditionalFormatting>
  <conditionalFormatting sqref="A166">
    <cfRule type="cellIs" dxfId="33" priority="32" operator="equal">
      <formula>"Print"</formula>
    </cfRule>
  </conditionalFormatting>
  <conditionalFormatting sqref="A167">
    <cfRule type="cellIs" dxfId="32" priority="31" operator="equal">
      <formula>"Print"</formula>
    </cfRule>
  </conditionalFormatting>
  <conditionalFormatting sqref="A168">
    <cfRule type="cellIs" dxfId="31" priority="30" operator="equal">
      <formula>"Print"</formula>
    </cfRule>
  </conditionalFormatting>
  <conditionalFormatting sqref="A169">
    <cfRule type="cellIs" dxfId="30" priority="29" operator="equal">
      <formula>"Print"</formula>
    </cfRule>
  </conditionalFormatting>
  <conditionalFormatting sqref="A170">
    <cfRule type="cellIs" dxfId="29" priority="28" operator="equal">
      <formula>"Print"</formula>
    </cfRule>
  </conditionalFormatting>
  <conditionalFormatting sqref="A171">
    <cfRule type="cellIs" dxfId="28" priority="27" operator="equal">
      <formula>"Print"</formula>
    </cfRule>
  </conditionalFormatting>
  <conditionalFormatting sqref="A172">
    <cfRule type="cellIs" dxfId="27" priority="26" operator="equal">
      <formula>"Print"</formula>
    </cfRule>
  </conditionalFormatting>
  <conditionalFormatting sqref="A173">
    <cfRule type="cellIs" dxfId="26" priority="25" operator="equal">
      <formula>"Print"</formula>
    </cfRule>
  </conditionalFormatting>
  <conditionalFormatting sqref="A174">
    <cfRule type="cellIs" dxfId="25" priority="24" operator="equal">
      <formula>"Print"</formula>
    </cfRule>
  </conditionalFormatting>
  <conditionalFormatting sqref="A176">
    <cfRule type="cellIs" dxfId="24" priority="23" operator="equal">
      <formula>"Print"</formula>
    </cfRule>
  </conditionalFormatting>
  <conditionalFormatting sqref="A177">
    <cfRule type="cellIs" dxfId="23" priority="22" operator="equal">
      <formula>"Print"</formula>
    </cfRule>
  </conditionalFormatting>
  <conditionalFormatting sqref="A178">
    <cfRule type="cellIs" dxfId="22" priority="21" operator="equal">
      <formula>"Print"</formula>
    </cfRule>
  </conditionalFormatting>
  <conditionalFormatting sqref="A179">
    <cfRule type="cellIs" dxfId="21" priority="20" operator="equal">
      <formula>"Print"</formula>
    </cfRule>
  </conditionalFormatting>
  <conditionalFormatting sqref="A180">
    <cfRule type="cellIs" dxfId="20" priority="19" operator="equal">
      <formula>"Print"</formula>
    </cfRule>
  </conditionalFormatting>
  <conditionalFormatting sqref="A181">
    <cfRule type="cellIs" dxfId="19" priority="18" operator="equal">
      <formula>"Print"</formula>
    </cfRule>
  </conditionalFormatting>
  <conditionalFormatting sqref="A182">
    <cfRule type="cellIs" dxfId="18" priority="17" operator="equal">
      <formula>"Print"</formula>
    </cfRule>
  </conditionalFormatting>
  <conditionalFormatting sqref="A183">
    <cfRule type="cellIs" dxfId="17" priority="16" operator="equal">
      <formula>"Print"</formula>
    </cfRule>
  </conditionalFormatting>
  <conditionalFormatting sqref="A184">
    <cfRule type="cellIs" dxfId="16" priority="15" operator="equal">
      <formula>"Print"</formula>
    </cfRule>
  </conditionalFormatting>
  <conditionalFormatting sqref="A185">
    <cfRule type="cellIs" dxfId="15" priority="14" operator="equal">
      <formula>"Print"</formula>
    </cfRule>
  </conditionalFormatting>
  <conditionalFormatting sqref="A210">
    <cfRule type="cellIs" dxfId="14" priority="13" operator="equal">
      <formula>"Print"</formula>
    </cfRule>
  </conditionalFormatting>
  <conditionalFormatting sqref="A212">
    <cfRule type="cellIs" dxfId="13" priority="12" operator="equal">
      <formula>"Print"</formula>
    </cfRule>
  </conditionalFormatting>
  <conditionalFormatting sqref="A213">
    <cfRule type="cellIs" dxfId="12" priority="11" operator="equal">
      <formula>"Print"</formula>
    </cfRule>
  </conditionalFormatting>
  <conditionalFormatting sqref="A214">
    <cfRule type="cellIs" dxfId="11" priority="10" operator="equal">
      <formula>"Print"</formula>
    </cfRule>
  </conditionalFormatting>
  <conditionalFormatting sqref="H153">
    <cfRule type="expression" dxfId="10" priority="9">
      <formula>$H$154="Due to the high performance score assign at least one additional KPA to Employee"</formula>
    </cfRule>
  </conditionalFormatting>
  <conditionalFormatting sqref="G196">
    <cfRule type="cellIs" dxfId="9" priority="4" operator="equal">
      <formula>"Active"</formula>
    </cfRule>
  </conditionalFormatting>
  <conditionalFormatting sqref="A196">
    <cfRule type="cellIs" dxfId="8" priority="3" operator="equal">
      <formula>"Print"</formula>
    </cfRule>
  </conditionalFormatting>
  <conditionalFormatting sqref="G195">
    <cfRule type="cellIs" dxfId="7" priority="2" operator="equal">
      <formula>"Active"</formula>
    </cfRule>
  </conditionalFormatting>
  <conditionalFormatting sqref="A195">
    <cfRule type="cellIs" dxfId="6" priority="1" operator="equal">
      <formula>"Print"</formula>
    </cfRule>
  </conditionalFormatting>
  <dataValidations disablePrompts="1" count="1">
    <dataValidation allowBlank="1" showErrorMessage="1" sqref="A189:A207 G189:G206" xr:uid="{00000000-0002-0000-0300-000000000000}"/>
  </dataValidations>
  <printOptions horizontalCentered="1"/>
  <pageMargins left="0.59055118110236227" right="0.59055118110236227" top="0.59055118110236227" bottom="0.59055118110236227" header="0.19685039370078741" footer="0.19685039370078741"/>
  <pageSetup paperSize="9" fitToHeight="0" orientation="portrait" r:id="rId1"/>
  <headerFooter>
    <oddFooter>&amp;C&amp;"-,Bold"&amp;8&amp;K04-022Page &amp;P of &amp;N&amp;R&amp;"-,Bold"&amp;8&amp;K04-024PART C</oddFooter>
  </headerFooter>
  <drawing r:id="rId2"/>
  <legacyDrawing r:id="rId3"/>
  <controls>
    <mc:AlternateContent xmlns:mc="http://schemas.openxmlformats.org/markup-compatibility/2006">
      <mc:Choice Requires="x14">
        <control shapeId="9227" r:id="rId4" name="Plan_Hide_Inactive">
          <controlPr autoLine="0" r:id="rId5">
            <anchor moveWithCells="1" sizeWithCells="1">
              <from>
                <xdr:col>7</xdr:col>
                <xdr:colOff>12700</xdr:colOff>
                <xdr:row>0</xdr:row>
                <xdr:rowOff>0</xdr:rowOff>
              </from>
              <to>
                <xdr:col>7</xdr:col>
                <xdr:colOff>2508250</xdr:colOff>
                <xdr:row>1</xdr:row>
                <xdr:rowOff>114300</xdr:rowOff>
              </to>
            </anchor>
          </controlPr>
        </control>
      </mc:Choice>
      <mc:Fallback>
        <control shapeId="9227" r:id="rId4" name="Plan_Hide_Inactive"/>
      </mc:Fallback>
    </mc:AlternateContent>
    <mc:AlternateContent xmlns:mc="http://schemas.openxmlformats.org/markup-compatibility/2006">
      <mc:Choice Requires="x14">
        <control shapeId="9228" r:id="rId6" name="Plan_Show_All">
          <controlPr autoLine="0" r:id="rId7">
            <anchor moveWithCells="1">
              <from>
                <xdr:col>7</xdr:col>
                <xdr:colOff>12700</xdr:colOff>
                <xdr:row>1</xdr:row>
                <xdr:rowOff>165100</xdr:rowOff>
              </from>
              <to>
                <xdr:col>7</xdr:col>
                <xdr:colOff>2501900</xdr:colOff>
                <xdr:row>2</xdr:row>
                <xdr:rowOff>158750</xdr:rowOff>
              </to>
            </anchor>
          </controlPr>
        </control>
      </mc:Choice>
      <mc:Fallback>
        <control shapeId="9228" r:id="rId6" name="Plan_Show_All"/>
      </mc:Fallback>
    </mc:AlternateContent>
    <mc:AlternateContent xmlns:mc="http://schemas.openxmlformats.org/markup-compatibility/2006">
      <mc:Choice Requires="x14">
        <control shapeId="9233" r:id="rId8" name="Plan_Print">
          <controlPr autoLine="0" r:id="rId9">
            <anchor moveWithCells="1">
              <from>
                <xdr:col>7</xdr:col>
                <xdr:colOff>0</xdr:colOff>
                <xdr:row>2</xdr:row>
                <xdr:rowOff>222250</xdr:rowOff>
              </from>
              <to>
                <xdr:col>7</xdr:col>
                <xdr:colOff>2495550</xdr:colOff>
                <xdr:row>3</xdr:row>
                <xdr:rowOff>215900</xdr:rowOff>
              </to>
            </anchor>
          </controlPr>
        </control>
      </mc:Choice>
      <mc:Fallback>
        <control shapeId="9233" r:id="rId8" name="Plan_Print"/>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300-000001000000}">
          <x14:formula1>
            <xm:f>'Factor Lookup'!$B$70:$B$71</xm:f>
          </x14:formula1>
          <xm:sqref>G176:G185 A146:A148 A20:A22 A48:A50 A34:A36 A62:A64 A76:A78 A90:A92 A104:A106 A132:A134 A210 A154:A163 A152 A176:A185 A165:A174 A212:A214 G20:G22 G154:G163 G132:G134 G34:G36 G48:G50 G62:G64 G76:G78 G90:G92 G104:G106 G118:G120 G146:G147 G212:G214 G165:G174 G152 G210 A118:A120</xm:sqref>
        </x14:dataValidation>
        <x14:dataValidation type="list" allowBlank="1" showErrorMessage="1" xr:uid="{00000000-0002-0000-0300-000002000000}">
          <x14:formula1>
            <xm:f>'Factor Lookup'!$B$70:$B$71</xm:f>
          </x14:formula1>
          <xm:sqref>G148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H39"/>
  <sheetViews>
    <sheetView tabSelected="1" zoomScale="140" zoomScaleNormal="140" workbookViewId="0">
      <pane xSplit="2" ySplit="6" topLeftCell="C25" activePane="bottomRight" state="frozen"/>
      <selection pane="topRight" activeCell="C1" sqref="C1"/>
      <selection pane="bottomLeft" activeCell="A7" sqref="A7"/>
      <selection pane="bottomRight" activeCell="C28" sqref="C28:F28"/>
    </sheetView>
  </sheetViews>
  <sheetFormatPr defaultColWidth="35.54296875" defaultRowHeight="30" customHeight="1" x14ac:dyDescent="0.35"/>
  <cols>
    <col min="1" max="1" width="5.54296875" style="254" customWidth="1"/>
    <col min="2" max="2" width="1.54296875" style="24" customWidth="1"/>
    <col min="3" max="4" width="22.54296875" style="31" customWidth="1"/>
    <col min="5" max="5" width="21.54296875" style="31" customWidth="1"/>
    <col min="6" max="6" width="22.54296875" style="31" customWidth="1"/>
    <col min="7" max="7" width="1.54296875" style="24" customWidth="1"/>
    <col min="8" max="16384" width="35.54296875" style="31"/>
  </cols>
  <sheetData>
    <row r="1" spans="1:7" ht="10" customHeight="1" x14ac:dyDescent="0.35">
      <c r="B1" s="175"/>
      <c r="C1" s="177"/>
      <c r="D1" s="177"/>
      <c r="E1" s="177"/>
      <c r="F1" s="177"/>
      <c r="G1" s="177"/>
    </row>
    <row r="2" spans="1:7" s="24" customFormat="1" ht="20.149999999999999" customHeight="1" x14ac:dyDescent="0.35">
      <c r="A2" s="254"/>
      <c r="B2" s="175"/>
      <c r="C2" s="5" t="s">
        <v>0</v>
      </c>
      <c r="E2" s="63" t="s">
        <v>24</v>
      </c>
      <c r="F2" s="189">
        <f>Setup!B14</f>
        <v>45246</v>
      </c>
      <c r="G2" s="175"/>
    </row>
    <row r="3" spans="1:7" s="24" customFormat="1" ht="20.149999999999999" customHeight="1" x14ac:dyDescent="0.35">
      <c r="A3" s="254"/>
      <c r="B3" s="175"/>
      <c r="C3" s="5" t="s">
        <v>87</v>
      </c>
      <c r="E3" s="63" t="s">
        <v>27</v>
      </c>
      <c r="F3" s="190" t="str">
        <f>Setup!B7</f>
        <v>Parker</v>
      </c>
      <c r="G3" s="175"/>
    </row>
    <row r="4" spans="1:7" s="24" customFormat="1" ht="20.149999999999999" customHeight="1" x14ac:dyDescent="0.35">
      <c r="A4" s="254"/>
      <c r="B4" s="174"/>
      <c r="C4" s="314" t="str">
        <f>"Division / Syndicate -  "&amp;Setup!B6&amp;" | Department -  "&amp;Setup!B10</f>
        <v>Division / Syndicate -  Wits RHI | Department -  Climate and Health</v>
      </c>
      <c r="D4" s="314"/>
      <c r="E4" s="63" t="s">
        <v>28</v>
      </c>
      <c r="F4" s="190" t="str">
        <f>Setup!B8</f>
        <v>Craig</v>
      </c>
      <c r="G4" s="174"/>
    </row>
    <row r="5" spans="1:7" s="24" customFormat="1" ht="20.149999999999999" customHeight="1" x14ac:dyDescent="0.35">
      <c r="A5" s="254"/>
      <c r="B5" s="174"/>
      <c r="C5" s="188" t="str">
        <f>"Employee Review Category -  "&amp;Setup!B4</f>
        <v>Employee Review Category -  Professional / Skilled</v>
      </c>
      <c r="D5" s="167"/>
      <c r="E5" s="63" t="s">
        <v>29</v>
      </c>
      <c r="F5" s="191" t="str">
        <f>Setup!B9</f>
        <v>B0158</v>
      </c>
      <c r="G5" s="174"/>
    </row>
    <row r="6" spans="1:7" s="24" customFormat="1" ht="20.149999999999999" customHeight="1" x14ac:dyDescent="0.35">
      <c r="A6" s="254"/>
      <c r="B6" s="174"/>
      <c r="C6" s="188" t="str">
        <f>"Review Type - "&amp;Setup!B15</f>
        <v>Review Type - FINAL</v>
      </c>
      <c r="D6" s="167"/>
      <c r="E6" s="63" t="s">
        <v>32</v>
      </c>
      <c r="F6" s="189">
        <f>Setup!B16</f>
        <v>45291</v>
      </c>
      <c r="G6" s="174"/>
    </row>
    <row r="7" spans="1:7" s="24" customFormat="1" ht="5.15" customHeight="1" thickBot="1" x14ac:dyDescent="0.4">
      <c r="A7" s="254"/>
      <c r="B7" s="174"/>
      <c r="C7" s="262"/>
      <c r="E7" s="32"/>
      <c r="F7" s="33"/>
      <c r="G7" s="174"/>
    </row>
    <row r="8" spans="1:7" s="24" customFormat="1" ht="25" customHeight="1" thickTop="1" thickBot="1" x14ac:dyDescent="0.4">
      <c r="A8" s="254"/>
      <c r="B8" s="174"/>
      <c r="C8" s="64" t="s">
        <v>88</v>
      </c>
      <c r="D8" s="56"/>
      <c r="E8" s="56"/>
      <c r="F8" s="57"/>
      <c r="G8" s="174"/>
    </row>
    <row r="9" spans="1:7" s="69" customFormat="1" ht="25" customHeight="1" thickTop="1" x14ac:dyDescent="0.35">
      <c r="A9" s="255"/>
      <c r="B9" s="175"/>
      <c r="C9" s="65" t="s">
        <v>11</v>
      </c>
      <c r="D9" s="66" t="str">
        <f>Setup!B11</f>
        <v>Data Scientist</v>
      </c>
      <c r="E9" s="67" t="s">
        <v>18</v>
      </c>
      <c r="F9" s="68">
        <f>Setup!B17</f>
        <v>45248</v>
      </c>
      <c r="G9" s="175"/>
    </row>
    <row r="10" spans="1:7" s="69" customFormat="1" ht="25" customHeight="1" x14ac:dyDescent="0.35">
      <c r="A10" s="255"/>
      <c r="B10" s="175"/>
      <c r="C10" s="70" t="s">
        <v>12</v>
      </c>
      <c r="D10" s="71">
        <f>Setup!B12</f>
        <v>44621</v>
      </c>
      <c r="E10" s="72" t="s">
        <v>89</v>
      </c>
      <c r="F10" s="73" t="str">
        <f>Setup!B18</f>
        <v>2.07</v>
      </c>
      <c r="G10" s="175"/>
    </row>
    <row r="11" spans="1:7" ht="15" customHeight="1" thickBot="1" x14ac:dyDescent="0.4">
      <c r="B11" s="175"/>
      <c r="C11" s="11"/>
      <c r="D11" s="11"/>
      <c r="E11" s="11"/>
      <c r="F11" s="11"/>
      <c r="G11" s="175"/>
    </row>
    <row r="12" spans="1:7" s="2" customFormat="1" ht="25" customHeight="1" thickTop="1" thickBot="1" x14ac:dyDescent="0.4">
      <c r="A12" s="245"/>
      <c r="B12" s="176"/>
      <c r="C12" s="64" t="s">
        <v>90</v>
      </c>
      <c r="D12" s="13"/>
      <c r="E12" s="13"/>
      <c r="F12" s="74"/>
      <c r="G12" s="176"/>
    </row>
    <row r="13" spans="1:7" s="69" customFormat="1" ht="15" customHeight="1" thickTop="1" x14ac:dyDescent="0.35">
      <c r="A13" s="255"/>
      <c r="B13" s="176"/>
      <c r="C13" s="75"/>
      <c r="E13" s="168" t="s">
        <v>91</v>
      </c>
      <c r="F13" s="168" t="s">
        <v>59</v>
      </c>
      <c r="G13" s="176"/>
    </row>
    <row r="14" spans="1:7" s="69" customFormat="1" ht="25" customHeight="1" x14ac:dyDescent="0.35">
      <c r="A14" s="255"/>
      <c r="B14" s="176"/>
      <c r="C14" s="76" t="s">
        <v>92</v>
      </c>
      <c r="D14" s="77" t="str">
        <f>'A-KPA Review'!J137</f>
        <v>Meets Expectation</v>
      </c>
      <c r="E14" s="78">
        <f>'A-KPA Review'!H137</f>
        <v>2.1178571428571429</v>
      </c>
      <c r="F14" s="78">
        <f>E14*'Factor Lookup'!A64</f>
        <v>1.4824999999999999</v>
      </c>
      <c r="G14" s="176"/>
    </row>
    <row r="15" spans="1:7" s="69" customFormat="1" ht="25" customHeight="1" x14ac:dyDescent="0.35">
      <c r="A15" s="255"/>
      <c r="B15" s="176"/>
      <c r="C15" s="79" t="s">
        <v>93</v>
      </c>
      <c r="D15" s="80" t="str">
        <f>'B-Competency Review'!I30</f>
        <v>Meets Expectation</v>
      </c>
      <c r="E15" s="81">
        <f>'B-Competency Review'!F30</f>
        <v>2</v>
      </c>
      <c r="F15" s="81">
        <f>E15*'Factor Lookup'!A65</f>
        <v>0.2</v>
      </c>
      <c r="G15" s="176"/>
    </row>
    <row r="16" spans="1:7" s="69" customFormat="1" ht="25" customHeight="1" x14ac:dyDescent="0.35">
      <c r="A16" s="255"/>
      <c r="B16" s="176"/>
      <c r="C16" s="79" t="s">
        <v>94</v>
      </c>
      <c r="D16" s="80" t="str">
        <f>'B-Competency Review'!I55</f>
        <v>Exceeds Expectation</v>
      </c>
      <c r="E16" s="81">
        <f>'B-Competency Review'!F55</f>
        <v>2.2250000000000001</v>
      </c>
      <c r="F16" s="82">
        <f>E16*'Factor Lookup'!A66</f>
        <v>0.44500000000000017</v>
      </c>
      <c r="G16" s="176"/>
    </row>
    <row r="17" spans="1:7" s="69" customFormat="1" ht="25" customHeight="1" thickBot="1" x14ac:dyDescent="0.4">
      <c r="A17" s="255"/>
      <c r="B17" s="176"/>
      <c r="C17" s="83" t="s">
        <v>95</v>
      </c>
      <c r="D17" s="70"/>
      <c r="E17" s="84" t="s">
        <v>96</v>
      </c>
      <c r="F17" s="85">
        <f>SUM(F14:F16)</f>
        <v>2.1274999999999999</v>
      </c>
      <c r="G17" s="176"/>
    </row>
    <row r="18" spans="1:7" ht="25" customHeight="1" thickTop="1" thickBot="1" x14ac:dyDescent="0.4">
      <c r="B18" s="176"/>
      <c r="C18" s="317" t="s">
        <v>97</v>
      </c>
      <c r="D18" s="317"/>
      <c r="E18" s="317"/>
      <c r="F18" s="260" t="str">
        <f>IF(F17=0,"Not Rated Yet",IF(F17&lt;'Factor Lookup'!$A$53,'Factor Lookup'!$C$52,IF(AND(F17&gt;'Factor Lookup'!$B$52,F17&lt;'Factor Lookup'!$A$54),'Factor Lookup'!$C$53,'Factor Lookup'!$C$54)))</f>
        <v>Meets Expectation</v>
      </c>
      <c r="G18" s="176"/>
    </row>
    <row r="19" spans="1:7" s="87" customFormat="1" ht="15" customHeight="1" thickTop="1" x14ac:dyDescent="0.35">
      <c r="A19" s="256"/>
      <c r="B19" s="176"/>
      <c r="C19" s="261" t="s">
        <v>98</v>
      </c>
      <c r="G19" s="176"/>
    </row>
    <row r="20" spans="1:7" s="88" customFormat="1" ht="25" customHeight="1" x14ac:dyDescent="0.35">
      <c r="A20" s="257"/>
      <c r="B20" s="176"/>
      <c r="C20" s="322" t="str">
        <f>'Factor Lookup'!C52&amp;" - "&amp;'Factor Lookup'!D52</f>
        <v>Requires Development - The performance rating given to employees who sometimes perform at an acceptable level but are not consistent and need improvement to meet expectations.</v>
      </c>
      <c r="D20" s="323"/>
      <c r="E20" s="323"/>
      <c r="F20" s="324"/>
      <c r="G20" s="176"/>
    </row>
    <row r="21" spans="1:7" s="88" customFormat="1" ht="25" customHeight="1" x14ac:dyDescent="0.35">
      <c r="A21" s="257"/>
      <c r="B21" s="176"/>
      <c r="C21" s="322" t="str">
        <f>'Factor Lookup'!C53&amp;" - "&amp;'Factor Lookup'!D53</f>
        <v>Meets Expectation - The performance rating given to employees who (1) are fully successful in meeting all of the performance expectations that are important to his or her job and (2) have demonstrated satisfactory achievement of the behavioral competencies.</v>
      </c>
      <c r="D21" s="323"/>
      <c r="E21" s="323"/>
      <c r="F21" s="324"/>
      <c r="G21" s="176"/>
    </row>
    <row r="22" spans="1:7" s="88" customFormat="1" ht="25" customHeight="1" x14ac:dyDescent="0.35">
      <c r="A22" s="257"/>
      <c r="B22" s="176"/>
      <c r="C22" s="322" t="str">
        <f>'Factor Lookup'!C54&amp;" - "&amp;'Factor Lookup'!D54</f>
        <v>Exceeds Expectation - The performance rating given to employees who exhibit high overall performance, routinely go beyond what is expected in order to substantially surpass all of their key performance expectations and will have met or exceeded expectations on the Competencies.</v>
      </c>
      <c r="D22" s="323"/>
      <c r="E22" s="323"/>
      <c r="F22" s="324"/>
      <c r="G22" s="176"/>
    </row>
    <row r="23" spans="1:7" ht="15" customHeight="1" thickBot="1" x14ac:dyDescent="0.4">
      <c r="B23" s="176"/>
      <c r="F23" s="89"/>
      <c r="G23" s="176"/>
    </row>
    <row r="24" spans="1:7" s="2" customFormat="1" ht="25" customHeight="1" thickTop="1" thickBot="1" x14ac:dyDescent="0.4">
      <c r="A24" s="245"/>
      <c r="B24" s="176"/>
      <c r="C24" s="64" t="s">
        <v>99</v>
      </c>
      <c r="D24" s="13"/>
      <c r="E24" s="13"/>
      <c r="F24" s="74"/>
      <c r="G24" s="176"/>
    </row>
    <row r="25" spans="1:7" s="69" customFormat="1" ht="15" customHeight="1" thickTop="1" x14ac:dyDescent="0.3">
      <c r="A25" s="255"/>
      <c r="B25" s="176"/>
      <c r="C25" s="86" t="s">
        <v>100</v>
      </c>
      <c r="G25" s="176"/>
    </row>
    <row r="26" spans="1:7" s="69" customFormat="1" ht="50.15" customHeight="1" x14ac:dyDescent="0.35">
      <c r="A26" s="255"/>
      <c r="B26" s="176"/>
      <c r="C26" s="319" t="s">
        <v>258</v>
      </c>
      <c r="D26" s="320"/>
      <c r="E26" s="320"/>
      <c r="F26" s="321"/>
      <c r="G26" s="176"/>
    </row>
    <row r="27" spans="1:7" s="69" customFormat="1" ht="15" customHeight="1" x14ac:dyDescent="0.3">
      <c r="A27" s="255"/>
      <c r="B27" s="176"/>
      <c r="C27" s="86" t="s">
        <v>101</v>
      </c>
      <c r="G27" s="176"/>
    </row>
    <row r="28" spans="1:7" s="69" customFormat="1" ht="50.15" customHeight="1" x14ac:dyDescent="0.35">
      <c r="A28" s="255"/>
      <c r="B28" s="176"/>
      <c r="C28" s="319" t="s">
        <v>259</v>
      </c>
      <c r="D28" s="320"/>
      <c r="E28" s="320"/>
      <c r="F28" s="321"/>
      <c r="G28" s="176"/>
    </row>
    <row r="29" spans="1:7" s="69" customFormat="1" ht="15" customHeight="1" thickBot="1" x14ac:dyDescent="0.35">
      <c r="A29" s="255"/>
      <c r="B29" s="176"/>
      <c r="C29" s="86" t="str">
        <f>IF(A30="IDP","Individual Development Plan",IF(A31="KPA","Additional Key Performance Areas for growth",""))</f>
        <v/>
      </c>
      <c r="G29" s="176"/>
    </row>
    <row r="30" spans="1:7" s="90" customFormat="1" ht="25" customHeight="1" thickTop="1" thickBot="1" x14ac:dyDescent="0.4">
      <c r="A30" s="259" t="str">
        <f>IF(F17&lt;'Factor Lookup'!A59,"IDP","-")</f>
        <v>-</v>
      </c>
      <c r="B30" s="176"/>
      <c r="C30" s="328" t="str">
        <f>IF(A30="IDP","As the Total Weighted Performance Score is below the target range, an Individual Development Plan is to be prepared and attached to this Performance Review Summary.","")</f>
        <v/>
      </c>
      <c r="D30" s="326"/>
      <c r="E30" s="326"/>
      <c r="F30" s="327"/>
      <c r="G30" s="176"/>
    </row>
    <row r="31" spans="1:7" s="90" customFormat="1" ht="25" hidden="1" customHeight="1" thickTop="1" thickBot="1" x14ac:dyDescent="0.4">
      <c r="A31" s="259" t="str">
        <f>IF(F17&gt;'Factor Lookup'!A60,"KPA","-")</f>
        <v>-</v>
      </c>
      <c r="B31" s="176"/>
      <c r="C31" s="325" t="str">
        <f>IF(A31="KPA","As the Total Weighted Performance Score is above the target range, additional Key Performance Areas are to be assigned in order to facilitate career growth .","")</f>
        <v/>
      </c>
      <c r="D31" s="326"/>
      <c r="E31" s="326"/>
      <c r="F31" s="327"/>
      <c r="G31" s="176"/>
    </row>
    <row r="32" spans="1:7" ht="5.15" customHeight="1" thickTop="1" x14ac:dyDescent="0.35">
      <c r="B32" s="176"/>
      <c r="C32" s="11"/>
      <c r="D32" s="11"/>
      <c r="E32" s="11"/>
      <c r="F32" s="11"/>
      <c r="G32" s="176"/>
    </row>
    <row r="33" spans="1:8" ht="10" customHeight="1" x14ac:dyDescent="0.35">
      <c r="B33" s="176"/>
      <c r="C33" s="91"/>
      <c r="D33" s="91"/>
      <c r="E33" s="91"/>
      <c r="F33" s="91"/>
      <c r="G33" s="176"/>
    </row>
    <row r="34" spans="1:8" s="50" customFormat="1" ht="15" customHeight="1" x14ac:dyDescent="0.35">
      <c r="A34" s="255"/>
      <c r="B34" s="176"/>
      <c r="D34" s="10"/>
      <c r="E34" s="318" t="s">
        <v>86</v>
      </c>
      <c r="F34" s="318"/>
      <c r="G34" s="176"/>
      <c r="H34" s="92"/>
    </row>
    <row r="35" spans="1:8" s="50" customFormat="1" ht="30" customHeight="1" x14ac:dyDescent="0.35">
      <c r="A35" s="255"/>
      <c r="B35" s="176"/>
      <c r="C35" s="315" t="str">
        <f>"Employee - "&amp;Setup!B8&amp;" "&amp;Setup!B7</f>
        <v>Employee - Craig Parker</v>
      </c>
      <c r="D35" s="316"/>
      <c r="E35" s="93"/>
      <c r="F35" s="94"/>
      <c r="G35" s="176"/>
      <c r="H35" s="92"/>
    </row>
    <row r="36" spans="1:8" s="50" customFormat="1" ht="30" customHeight="1" x14ac:dyDescent="0.35">
      <c r="A36" s="255"/>
      <c r="B36" s="176"/>
      <c r="C36" s="315" t="str">
        <f>"Line Manager - "&amp;Setup!B20&amp;" ("&amp;Setup!B21&amp;")"</f>
        <v>Line Manager - Gloria Maimela (Director)</v>
      </c>
      <c r="D36" s="316"/>
      <c r="E36" s="93"/>
      <c r="F36" s="94"/>
      <c r="G36" s="176"/>
      <c r="H36" s="92"/>
    </row>
    <row r="37" spans="1:8" s="50" customFormat="1" ht="30" customHeight="1" x14ac:dyDescent="0.35">
      <c r="A37" s="255"/>
      <c r="B37" s="176"/>
      <c r="C37" s="315" t="str">
        <f>"Other Reviewers - "&amp;Setup!B22</f>
        <v>Other Reviewers - NA</v>
      </c>
      <c r="D37" s="316"/>
      <c r="E37" s="93"/>
      <c r="F37" s="94"/>
      <c r="G37" s="176"/>
      <c r="H37" s="92"/>
    </row>
    <row r="38" spans="1:8" s="10" customFormat="1" ht="30" customHeight="1" x14ac:dyDescent="0.35">
      <c r="A38" s="258"/>
      <c r="B38" s="176"/>
      <c r="C38" s="95"/>
      <c r="D38" s="95"/>
      <c r="E38" s="95"/>
      <c r="F38" s="95"/>
      <c r="G38" s="176"/>
    </row>
    <row r="39" spans="1:8" ht="10" customHeight="1" x14ac:dyDescent="0.35">
      <c r="B39" s="175"/>
      <c r="C39" s="177"/>
      <c r="D39" s="177"/>
      <c r="E39" s="177"/>
      <c r="F39" s="177"/>
      <c r="G39" s="177"/>
    </row>
  </sheetData>
  <sheetProtection algorithmName="SHA-512" hashValue="HBvPPFEKBYJFLUXPpON8QPq+4mBvk2JLClrZKF/BRwQIThO5ohyo2VoeS8nLon4NzXvI5HoOzysd8pMupHQl9g==" saltValue="3tNjeISCsU7BcbpMmI1wxw==" spinCount="100000" sheet="1" objects="1" scenarios="1" formatCells="0" formatRows="0" selectLockedCells="1"/>
  <mergeCells count="13">
    <mergeCell ref="C4:D4"/>
    <mergeCell ref="C37:D37"/>
    <mergeCell ref="C36:D36"/>
    <mergeCell ref="C35:D35"/>
    <mergeCell ref="C18:E18"/>
    <mergeCell ref="E34:F34"/>
    <mergeCell ref="C26:F26"/>
    <mergeCell ref="C28:F28"/>
    <mergeCell ref="C20:F20"/>
    <mergeCell ref="C21:F21"/>
    <mergeCell ref="C22:F22"/>
    <mergeCell ref="C31:F31"/>
    <mergeCell ref="C30:F30"/>
  </mergeCells>
  <conditionalFormatting sqref="B12:B25">
    <cfRule type="cellIs" dxfId="5" priority="10" operator="equal">
      <formula>"Active"</formula>
    </cfRule>
  </conditionalFormatting>
  <conditionalFormatting sqref="B26:B29 B31:B38">
    <cfRule type="cellIs" dxfId="4" priority="9" operator="equal">
      <formula>"Active"</formula>
    </cfRule>
  </conditionalFormatting>
  <conditionalFormatting sqref="G12:G25">
    <cfRule type="cellIs" dxfId="3" priority="6" operator="equal">
      <formula>"Active"</formula>
    </cfRule>
  </conditionalFormatting>
  <conditionalFormatting sqref="G26:G29 G31:G38">
    <cfRule type="cellIs" dxfId="2" priority="5" operator="equal">
      <formula>"Active"</formula>
    </cfRule>
  </conditionalFormatting>
  <conditionalFormatting sqref="B30">
    <cfRule type="cellIs" dxfId="1" priority="2" operator="equal">
      <formula>"Active"</formula>
    </cfRule>
  </conditionalFormatting>
  <conditionalFormatting sqref="G30">
    <cfRule type="cellIs" dxfId="0" priority="1" operator="equal">
      <formula>"Active"</formula>
    </cfRule>
  </conditionalFormatting>
  <printOptions horizontalCentered="1"/>
  <pageMargins left="0.59055118110236227" right="0.59055118110236227" top="0.59055118110236227" bottom="0.59055118110236227" header="0.19685039370078741" footer="0.19685039370078741"/>
  <pageSetup paperSize="9" scale="96" orientation="portrait" r:id="rId1"/>
  <drawing r:id="rId2"/>
  <legacyDrawing r:id="rId3"/>
  <controls>
    <mc:AlternateContent xmlns:mc="http://schemas.openxmlformats.org/markup-compatibility/2006">
      <mc:Choice Requires="x14">
        <control shapeId="14337" r:id="rId4" name="Summary_Print">
          <controlPr autoLine="0" autoPict="0" r:id="rId5">
            <anchor moveWithCells="1">
              <from>
                <xdr:col>7</xdr:col>
                <xdr:colOff>31750</xdr:colOff>
                <xdr:row>0</xdr:row>
                <xdr:rowOff>12700</xdr:rowOff>
              </from>
              <to>
                <xdr:col>7</xdr:col>
                <xdr:colOff>2362200</xdr:colOff>
                <xdr:row>1</xdr:row>
                <xdr:rowOff>228600</xdr:rowOff>
              </to>
            </anchor>
          </controlPr>
        </control>
      </mc:Choice>
      <mc:Fallback>
        <control shapeId="14337" r:id="rId4" name="Summary_Print"/>
      </mc:Fallback>
    </mc:AlternateContent>
    <mc:AlternateContent xmlns:mc="http://schemas.openxmlformats.org/markup-compatibility/2006">
      <mc:Choice Requires="x14">
        <control shapeId="14338" r:id="rId6" name="Summary_Recalc_Sheet">
          <controlPr autoLine="0" autoPict="0" r:id="rId7">
            <anchor moveWithCells="1">
              <from>
                <xdr:col>7</xdr:col>
                <xdr:colOff>31750</xdr:colOff>
                <xdr:row>2</xdr:row>
                <xdr:rowOff>12700</xdr:rowOff>
              </from>
              <to>
                <xdr:col>7</xdr:col>
                <xdr:colOff>2362200</xdr:colOff>
                <xdr:row>3</xdr:row>
                <xdr:rowOff>76200</xdr:rowOff>
              </to>
            </anchor>
          </controlPr>
        </control>
      </mc:Choice>
      <mc:Fallback>
        <control shapeId="14338" r:id="rId6" name="Summary_Recalc_Sheet"/>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N73"/>
  <sheetViews>
    <sheetView zoomScaleNormal="100" workbookViewId="0">
      <pane ySplit="3" topLeftCell="A4" activePane="bottomLeft" state="frozen"/>
      <selection activeCell="A4" sqref="A4:C4"/>
      <selection pane="bottomLeft" activeCell="A4" sqref="A4"/>
    </sheetView>
  </sheetViews>
  <sheetFormatPr defaultColWidth="40.54296875" defaultRowHeight="50.15" customHeight="1" x14ac:dyDescent="0.35"/>
  <cols>
    <col min="1" max="2" width="30.54296875" style="97" customWidth="1"/>
    <col min="3" max="4" width="70.54296875" style="97" customWidth="1"/>
    <col min="5" max="16384" width="40.54296875" style="97"/>
  </cols>
  <sheetData>
    <row r="1" spans="1:4" ht="35.15" customHeight="1" x14ac:dyDescent="0.35">
      <c r="A1" s="96" t="s">
        <v>0</v>
      </c>
      <c r="B1" s="96"/>
    </row>
    <row r="2" spans="1:4" ht="35.15" customHeight="1" x14ac:dyDescent="0.35">
      <c r="A2" s="96" t="s">
        <v>1</v>
      </c>
      <c r="B2" s="96"/>
      <c r="D2" s="98" t="s">
        <v>102</v>
      </c>
    </row>
    <row r="3" spans="1:4" ht="10" customHeight="1" thickBot="1" x14ac:dyDescent="0.4">
      <c r="A3" s="99"/>
      <c r="B3" s="100"/>
      <c r="C3" s="99"/>
      <c r="D3" s="99"/>
    </row>
    <row r="4" spans="1:4" ht="30" customHeight="1" thickTop="1" thickBot="1" x14ac:dyDescent="0.4"/>
    <row r="5" spans="1:4" ht="30" customHeight="1" thickTop="1" x14ac:dyDescent="0.35">
      <c r="A5" s="101" t="s">
        <v>3</v>
      </c>
      <c r="B5" s="102"/>
      <c r="C5" s="103"/>
    </row>
    <row r="6" spans="1:4" ht="30" customHeight="1" x14ac:dyDescent="0.35">
      <c r="A6" s="104" t="s">
        <v>103</v>
      </c>
      <c r="B6" s="105"/>
      <c r="C6" s="106"/>
    </row>
    <row r="7" spans="1:4" ht="30" customHeight="1" x14ac:dyDescent="0.35">
      <c r="A7" s="107" t="s">
        <v>104</v>
      </c>
      <c r="B7" s="108" t="s">
        <v>105</v>
      </c>
      <c r="C7" s="109"/>
    </row>
    <row r="8" spans="1:4" ht="30" customHeight="1" x14ac:dyDescent="0.35">
      <c r="A8" s="107" t="s">
        <v>4</v>
      </c>
      <c r="B8" s="108" t="s">
        <v>106</v>
      </c>
      <c r="C8" s="109"/>
    </row>
    <row r="9" spans="1:4" ht="30" customHeight="1" x14ac:dyDescent="0.35">
      <c r="A9" s="107" t="s">
        <v>107</v>
      </c>
      <c r="B9" s="108" t="s">
        <v>108</v>
      </c>
      <c r="C9" s="109"/>
    </row>
    <row r="10" spans="1:4" ht="30" customHeight="1" x14ac:dyDescent="0.35">
      <c r="A10" s="107" t="s">
        <v>109</v>
      </c>
      <c r="B10" s="108" t="s">
        <v>110</v>
      </c>
      <c r="C10" s="109"/>
    </row>
    <row r="11" spans="1:4" ht="30" customHeight="1" thickBot="1" x14ac:dyDescent="0.4">
      <c r="A11" s="110"/>
      <c r="B11" s="111"/>
      <c r="C11" s="112"/>
    </row>
    <row r="12" spans="1:4" ht="30" customHeight="1" thickTop="1" thickBot="1" x14ac:dyDescent="0.4">
      <c r="B12" s="113"/>
    </row>
    <row r="13" spans="1:4" ht="30" customHeight="1" thickTop="1" x14ac:dyDescent="0.35">
      <c r="A13" s="101" t="s">
        <v>111</v>
      </c>
      <c r="B13" s="102"/>
      <c r="C13" s="103"/>
    </row>
    <row r="14" spans="1:4" ht="30" customHeight="1" x14ac:dyDescent="0.35">
      <c r="A14" s="104" t="s">
        <v>112</v>
      </c>
      <c r="B14" s="105"/>
      <c r="C14" s="106"/>
    </row>
    <row r="15" spans="1:4" ht="30" customHeight="1" x14ac:dyDescent="0.35">
      <c r="A15" s="107" t="s">
        <v>113</v>
      </c>
      <c r="B15" s="108" t="s">
        <v>114</v>
      </c>
      <c r="C15" s="109"/>
    </row>
    <row r="16" spans="1:4" ht="30" customHeight="1" x14ac:dyDescent="0.35">
      <c r="A16" s="107" t="s">
        <v>15</v>
      </c>
      <c r="B16" s="108" t="s">
        <v>115</v>
      </c>
      <c r="C16" s="109"/>
    </row>
    <row r="17" spans="1:3" ht="30" customHeight="1" thickBot="1" x14ac:dyDescent="0.4">
      <c r="A17" s="110"/>
      <c r="B17" s="111"/>
      <c r="C17" s="112"/>
    </row>
    <row r="18" spans="1:3" ht="30" customHeight="1" thickTop="1" thickBot="1" x14ac:dyDescent="0.4">
      <c r="B18" s="113"/>
    </row>
    <row r="19" spans="1:3" ht="30" customHeight="1" thickTop="1" x14ac:dyDescent="0.35">
      <c r="A19" s="101" t="s">
        <v>116</v>
      </c>
      <c r="B19" s="102"/>
      <c r="C19" s="103"/>
    </row>
    <row r="20" spans="1:3" ht="30" customHeight="1" x14ac:dyDescent="0.35">
      <c r="A20" s="114" t="s">
        <v>117</v>
      </c>
      <c r="B20" s="115"/>
      <c r="C20" s="106"/>
    </row>
    <row r="21" spans="1:3" ht="30" customHeight="1" x14ac:dyDescent="0.35">
      <c r="A21" s="116">
        <v>44561</v>
      </c>
      <c r="B21" s="117"/>
      <c r="C21" s="109"/>
    </row>
    <row r="22" spans="1:3" ht="30" customHeight="1" x14ac:dyDescent="0.35">
      <c r="A22" s="116">
        <v>44926</v>
      </c>
      <c r="B22" s="117"/>
      <c r="C22" s="109"/>
    </row>
    <row r="23" spans="1:3" ht="30" customHeight="1" x14ac:dyDescent="0.35">
      <c r="A23" s="116">
        <v>45291</v>
      </c>
      <c r="B23" s="117"/>
      <c r="C23" s="109"/>
    </row>
    <row r="24" spans="1:3" ht="30" customHeight="1" x14ac:dyDescent="0.35">
      <c r="A24" s="116">
        <v>45657</v>
      </c>
      <c r="B24" s="117"/>
      <c r="C24" s="109"/>
    </row>
    <row r="25" spans="1:3" ht="30" customHeight="1" x14ac:dyDescent="0.35">
      <c r="A25" s="116">
        <v>46022</v>
      </c>
      <c r="B25" s="117"/>
      <c r="C25" s="109"/>
    </row>
    <row r="26" spans="1:3" ht="30" customHeight="1" x14ac:dyDescent="0.35">
      <c r="A26" s="116">
        <v>46387</v>
      </c>
      <c r="B26" s="117"/>
      <c r="C26" s="109"/>
    </row>
    <row r="27" spans="1:3" ht="30" customHeight="1" x14ac:dyDescent="0.35">
      <c r="A27" s="116">
        <v>46752</v>
      </c>
      <c r="B27" s="117"/>
      <c r="C27" s="109"/>
    </row>
    <row r="28" spans="1:3" ht="30" customHeight="1" x14ac:dyDescent="0.35">
      <c r="A28" s="116">
        <v>47118</v>
      </c>
      <c r="B28" s="117"/>
      <c r="C28" s="109"/>
    </row>
    <row r="29" spans="1:3" ht="30" customHeight="1" x14ac:dyDescent="0.35">
      <c r="A29" s="116">
        <v>47483</v>
      </c>
      <c r="B29" s="117"/>
      <c r="C29" s="109"/>
    </row>
    <row r="30" spans="1:3" ht="30" customHeight="1" thickBot="1" x14ac:dyDescent="0.4">
      <c r="A30" s="110"/>
      <c r="B30" s="111"/>
      <c r="C30" s="112"/>
    </row>
    <row r="31" spans="1:3" ht="30" customHeight="1" thickTop="1" thickBot="1" x14ac:dyDescent="0.4">
      <c r="B31" s="113"/>
    </row>
    <row r="32" spans="1:3" ht="30" customHeight="1" thickTop="1" x14ac:dyDescent="0.35">
      <c r="A32" s="118" t="s">
        <v>118</v>
      </c>
      <c r="B32" s="119"/>
      <c r="C32" s="120"/>
    </row>
    <row r="33" spans="1:14" ht="25" customHeight="1" x14ac:dyDescent="0.35">
      <c r="A33" s="121"/>
      <c r="B33" s="265" t="s">
        <v>119</v>
      </c>
      <c r="C33" s="122"/>
    </row>
    <row r="34" spans="1:14" ht="50.15" customHeight="1" x14ac:dyDescent="0.35">
      <c r="A34" s="107" t="s">
        <v>42</v>
      </c>
      <c r="B34" s="123">
        <v>0</v>
      </c>
      <c r="C34" s="124"/>
    </row>
    <row r="35" spans="1:14" ht="50.15" customHeight="1" x14ac:dyDescent="0.35">
      <c r="A35" s="107" t="s">
        <v>120</v>
      </c>
      <c r="B35" s="123">
        <v>2</v>
      </c>
      <c r="C35" s="125" t="s">
        <v>121</v>
      </c>
    </row>
    <row r="36" spans="1:14" ht="50.15" customHeight="1" x14ac:dyDescent="0.35">
      <c r="A36" s="107" t="s">
        <v>122</v>
      </c>
      <c r="B36" s="123">
        <v>4</v>
      </c>
      <c r="C36" s="125" t="s">
        <v>123</v>
      </c>
    </row>
    <row r="37" spans="1:14" ht="50.15" customHeight="1" x14ac:dyDescent="0.35">
      <c r="A37" s="107" t="s">
        <v>124</v>
      </c>
      <c r="B37" s="123">
        <v>7</v>
      </c>
      <c r="C37" s="125" t="s">
        <v>125</v>
      </c>
    </row>
    <row r="38" spans="1:14" ht="50.15" customHeight="1" x14ac:dyDescent="0.35">
      <c r="A38" s="107" t="s">
        <v>126</v>
      </c>
      <c r="B38" s="123">
        <v>10</v>
      </c>
      <c r="C38" s="125" t="s">
        <v>127</v>
      </c>
    </row>
    <row r="39" spans="1:14" ht="30" customHeight="1" thickBot="1" x14ac:dyDescent="0.4">
      <c r="A39" s="110"/>
      <c r="B39" s="126"/>
      <c r="C39" s="127"/>
    </row>
    <row r="40" spans="1:14" ht="30" customHeight="1" thickTop="1" thickBot="1" x14ac:dyDescent="0.4">
      <c r="B40" s="113"/>
    </row>
    <row r="41" spans="1:14" ht="30" customHeight="1" thickTop="1" x14ac:dyDescent="0.35">
      <c r="A41" s="118" t="s">
        <v>128</v>
      </c>
      <c r="B41" s="119"/>
      <c r="C41" s="128"/>
      <c r="D41" s="103"/>
    </row>
    <row r="42" spans="1:14" ht="25" customHeight="1" x14ac:dyDescent="0.35">
      <c r="A42" s="121"/>
      <c r="B42" s="265" t="s">
        <v>129</v>
      </c>
      <c r="C42" s="129"/>
      <c r="D42" s="106"/>
    </row>
    <row r="43" spans="1:14" ht="90" customHeight="1" x14ac:dyDescent="0.35">
      <c r="A43" s="107" t="s">
        <v>44</v>
      </c>
      <c r="B43" s="123">
        <v>0</v>
      </c>
      <c r="C43" s="130"/>
      <c r="D43" s="109"/>
    </row>
    <row r="44" spans="1:14" ht="90" customHeight="1" x14ac:dyDescent="0.35">
      <c r="A44" s="107" t="s">
        <v>130</v>
      </c>
      <c r="B44" s="123">
        <v>1.5</v>
      </c>
      <c r="C44" s="131" t="s">
        <v>131</v>
      </c>
      <c r="D44" s="132"/>
      <c r="E44" s="133"/>
      <c r="F44" s="133"/>
      <c r="G44" s="133"/>
      <c r="H44" s="134"/>
      <c r="I44" s="135"/>
      <c r="J44" s="135"/>
      <c r="K44" s="135"/>
      <c r="L44" s="135"/>
      <c r="M44" s="135"/>
      <c r="N44" s="135"/>
    </row>
    <row r="45" spans="1:14" ht="90" customHeight="1" x14ac:dyDescent="0.35">
      <c r="A45" s="107" t="s">
        <v>132</v>
      </c>
      <c r="B45" s="123">
        <v>2</v>
      </c>
      <c r="C45" s="131" t="s">
        <v>133</v>
      </c>
      <c r="D45" s="109"/>
      <c r="E45" s="133"/>
      <c r="F45" s="133"/>
      <c r="G45" s="133"/>
      <c r="H45" s="134"/>
      <c r="I45" s="135"/>
      <c r="J45" s="135"/>
      <c r="K45" s="135"/>
      <c r="L45" s="135"/>
      <c r="M45" s="135"/>
      <c r="N45" s="135"/>
    </row>
    <row r="46" spans="1:14" ht="90" customHeight="1" x14ac:dyDescent="0.35">
      <c r="A46" s="107" t="s">
        <v>134</v>
      </c>
      <c r="B46" s="123">
        <v>2.2999999999999998</v>
      </c>
      <c r="C46" s="131" t="s">
        <v>135</v>
      </c>
      <c r="D46" s="109"/>
      <c r="E46" s="133"/>
      <c r="F46" s="133"/>
      <c r="G46" s="133"/>
      <c r="H46" s="134"/>
      <c r="I46" s="135"/>
      <c r="J46" s="135"/>
      <c r="K46" s="135"/>
      <c r="L46" s="135"/>
      <c r="M46" s="135"/>
      <c r="N46" s="135"/>
    </row>
    <row r="47" spans="1:14" ht="90" customHeight="1" x14ac:dyDescent="0.35">
      <c r="A47" s="107" t="s">
        <v>136</v>
      </c>
      <c r="B47" s="123">
        <v>2.75</v>
      </c>
      <c r="C47" s="131" t="s">
        <v>137</v>
      </c>
      <c r="D47" s="109"/>
      <c r="E47" s="133"/>
      <c r="F47" s="133"/>
      <c r="G47" s="133"/>
      <c r="H47" s="134"/>
      <c r="I47" s="134"/>
      <c r="J47" s="134"/>
      <c r="K47" s="134"/>
      <c r="L47" s="135"/>
      <c r="M47" s="135"/>
      <c r="N47" s="135"/>
    </row>
    <row r="48" spans="1:14" ht="30" customHeight="1" thickBot="1" x14ac:dyDescent="0.4">
      <c r="A48" s="110"/>
      <c r="B48" s="126"/>
      <c r="C48" s="126"/>
      <c r="D48" s="112"/>
      <c r="E48" s="135"/>
      <c r="F48" s="135"/>
      <c r="G48" s="135"/>
      <c r="H48" s="135"/>
      <c r="I48" s="135"/>
      <c r="J48" s="135"/>
      <c r="K48" s="135"/>
      <c r="L48" s="135"/>
      <c r="M48" s="135"/>
      <c r="N48" s="135"/>
    </row>
    <row r="49" spans="1:14" ht="30" customHeight="1" thickTop="1" thickBot="1" x14ac:dyDescent="0.4">
      <c r="E49" s="135"/>
      <c r="F49" s="135"/>
      <c r="G49" s="135"/>
      <c r="H49" s="135"/>
      <c r="I49" s="135"/>
      <c r="J49" s="135"/>
      <c r="K49" s="135"/>
      <c r="L49" s="135"/>
      <c r="M49" s="135"/>
      <c r="N49" s="135"/>
    </row>
    <row r="50" spans="1:14" ht="30" customHeight="1" thickTop="1" x14ac:dyDescent="0.35">
      <c r="A50" s="118" t="s">
        <v>138</v>
      </c>
      <c r="B50" s="119"/>
      <c r="C50" s="128"/>
      <c r="D50" s="103"/>
      <c r="E50" s="135"/>
      <c r="F50" s="135"/>
      <c r="G50" s="135"/>
      <c r="H50" s="135"/>
      <c r="I50" s="135"/>
      <c r="J50" s="135"/>
      <c r="K50" s="135"/>
      <c r="L50" s="135"/>
      <c r="M50" s="135"/>
      <c r="N50" s="135"/>
    </row>
    <row r="51" spans="1:14" ht="25" customHeight="1" x14ac:dyDescent="0.35">
      <c r="A51" s="329" t="s">
        <v>139</v>
      </c>
      <c r="B51" s="330"/>
      <c r="C51" s="265" t="s">
        <v>140</v>
      </c>
      <c r="D51" s="136" t="s">
        <v>141</v>
      </c>
      <c r="E51" s="135"/>
      <c r="F51" s="135"/>
      <c r="G51" s="135"/>
      <c r="H51" s="135"/>
      <c r="I51" s="135"/>
      <c r="J51" s="135"/>
      <c r="K51" s="135"/>
      <c r="L51" s="135"/>
      <c r="M51" s="135"/>
      <c r="N51" s="135"/>
    </row>
    <row r="52" spans="1:14" ht="80.150000000000006" customHeight="1" x14ac:dyDescent="0.35">
      <c r="A52" s="137">
        <v>0</v>
      </c>
      <c r="B52" s="138">
        <v>1.8</v>
      </c>
      <c r="C52" s="139" t="s">
        <v>142</v>
      </c>
      <c r="D52" s="125" t="s">
        <v>143</v>
      </c>
      <c r="E52" s="133"/>
      <c r="F52" s="140"/>
      <c r="G52" s="140"/>
      <c r="H52" s="140"/>
      <c r="I52" s="140"/>
      <c r="J52" s="140"/>
      <c r="K52" s="135"/>
      <c r="L52" s="135"/>
      <c r="M52" s="135"/>
      <c r="N52" s="135"/>
    </row>
    <row r="53" spans="1:14" ht="80.150000000000006" customHeight="1" x14ac:dyDescent="0.35">
      <c r="A53" s="137">
        <v>1.81</v>
      </c>
      <c r="B53" s="138">
        <v>2.2000000000000002</v>
      </c>
      <c r="C53" s="139" t="s">
        <v>144</v>
      </c>
      <c r="D53" s="125" t="s">
        <v>145</v>
      </c>
      <c r="E53" s="133"/>
      <c r="F53" s="140"/>
      <c r="G53" s="140"/>
      <c r="H53" s="140"/>
      <c r="I53" s="135"/>
      <c r="J53" s="135"/>
      <c r="K53" s="135"/>
      <c r="L53" s="135"/>
      <c r="M53" s="135"/>
      <c r="N53" s="135"/>
    </row>
    <row r="54" spans="1:14" ht="80.150000000000006" customHeight="1" x14ac:dyDescent="0.35">
      <c r="A54" s="137">
        <v>2.21</v>
      </c>
      <c r="B54" s="138">
        <v>3</v>
      </c>
      <c r="C54" s="139" t="s">
        <v>146</v>
      </c>
      <c r="D54" s="125" t="s">
        <v>147</v>
      </c>
      <c r="E54" s="133"/>
      <c r="F54" s="140"/>
      <c r="G54" s="140"/>
      <c r="H54" s="140"/>
      <c r="I54" s="140"/>
      <c r="J54" s="135"/>
      <c r="K54" s="135"/>
      <c r="L54" s="135"/>
      <c r="M54" s="135"/>
      <c r="N54" s="135"/>
    </row>
    <row r="55" spans="1:14" ht="50.15" customHeight="1" thickBot="1" x14ac:dyDescent="0.4">
      <c r="A55" s="110"/>
      <c r="B55" s="126"/>
      <c r="C55" s="126"/>
      <c r="D55" s="112"/>
      <c r="E55" s="135"/>
      <c r="F55" s="135"/>
      <c r="G55" s="135"/>
      <c r="H55" s="135"/>
      <c r="I55" s="135"/>
      <c r="J55" s="135"/>
      <c r="K55" s="135"/>
      <c r="L55" s="135"/>
      <c r="M55" s="135"/>
      <c r="N55" s="135"/>
    </row>
    <row r="56" spans="1:14" ht="50.15" customHeight="1" thickTop="1" thickBot="1" x14ac:dyDescent="0.4">
      <c r="E56" s="135"/>
      <c r="F56" s="135"/>
      <c r="G56" s="135"/>
      <c r="H56" s="135"/>
      <c r="I56" s="135"/>
      <c r="J56" s="135"/>
      <c r="K56" s="135"/>
      <c r="L56" s="135"/>
      <c r="M56" s="135"/>
      <c r="N56" s="135"/>
    </row>
    <row r="57" spans="1:14" ht="30" customHeight="1" thickTop="1" x14ac:dyDescent="0.35">
      <c r="A57" s="118" t="s">
        <v>148</v>
      </c>
      <c r="B57" s="128"/>
      <c r="C57" s="103"/>
      <c r="E57" s="135"/>
      <c r="F57" s="135"/>
      <c r="G57" s="135"/>
      <c r="H57" s="135"/>
      <c r="I57" s="135"/>
      <c r="J57" s="135"/>
      <c r="K57" s="135"/>
      <c r="L57" s="135"/>
      <c r="M57" s="135"/>
      <c r="N57" s="135"/>
    </row>
    <row r="58" spans="1:14" ht="25" customHeight="1" x14ac:dyDescent="0.35">
      <c r="A58" s="141" t="s">
        <v>149</v>
      </c>
      <c r="B58" s="265" t="s">
        <v>150</v>
      </c>
      <c r="C58" s="136" t="s">
        <v>151</v>
      </c>
      <c r="E58" s="135"/>
      <c r="F58" s="135"/>
      <c r="G58" s="135"/>
      <c r="H58" s="135"/>
      <c r="I58" s="135"/>
      <c r="J58" s="135"/>
      <c r="K58" s="135"/>
      <c r="L58" s="135"/>
      <c r="M58" s="135"/>
      <c r="N58" s="135"/>
    </row>
    <row r="59" spans="1:14" ht="80.150000000000006" customHeight="1" x14ac:dyDescent="0.35">
      <c r="A59" s="137">
        <v>1.75</v>
      </c>
      <c r="B59" s="139" t="s">
        <v>152</v>
      </c>
      <c r="C59" s="125" t="s">
        <v>153</v>
      </c>
      <c r="E59" s="133"/>
      <c r="F59" s="140"/>
      <c r="G59" s="140"/>
      <c r="H59" s="140"/>
      <c r="I59" s="140"/>
      <c r="J59" s="140"/>
      <c r="K59" s="135"/>
      <c r="L59" s="135"/>
      <c r="M59" s="135"/>
      <c r="N59" s="135"/>
    </row>
    <row r="60" spans="1:14" ht="80.150000000000006" customHeight="1" x14ac:dyDescent="0.35">
      <c r="A60" s="137">
        <v>2.25</v>
      </c>
      <c r="B60" s="139" t="s">
        <v>154</v>
      </c>
      <c r="C60" s="125" t="s">
        <v>155</v>
      </c>
      <c r="E60" s="133"/>
      <c r="F60" s="140"/>
      <c r="G60" s="140"/>
      <c r="H60" s="140"/>
      <c r="I60" s="140"/>
      <c r="J60" s="135"/>
      <c r="K60" s="135"/>
      <c r="L60" s="135"/>
      <c r="M60" s="135"/>
      <c r="N60" s="135"/>
    </row>
    <row r="61" spans="1:14" ht="50.15" customHeight="1" thickBot="1" x14ac:dyDescent="0.4">
      <c r="A61" s="110"/>
      <c r="B61" s="126"/>
      <c r="C61" s="112"/>
      <c r="E61" s="135"/>
      <c r="F61" s="135"/>
      <c r="G61" s="135"/>
      <c r="H61" s="135"/>
      <c r="I61" s="135"/>
      <c r="J61" s="135"/>
      <c r="K61" s="135"/>
      <c r="L61" s="135"/>
      <c r="M61" s="135"/>
      <c r="N61" s="135"/>
    </row>
    <row r="62" spans="1:14" ht="50.15" customHeight="1" thickTop="1" thickBot="1" x14ac:dyDescent="0.4">
      <c r="E62" s="135"/>
      <c r="F62" s="135"/>
      <c r="G62" s="135"/>
      <c r="H62" s="135"/>
      <c r="I62" s="135"/>
      <c r="J62" s="135"/>
      <c r="K62" s="135"/>
      <c r="L62" s="135"/>
      <c r="M62" s="135"/>
      <c r="N62" s="135"/>
    </row>
    <row r="63" spans="1:14" ht="30" customHeight="1" thickTop="1" x14ac:dyDescent="0.35">
      <c r="A63" s="101" t="s">
        <v>156</v>
      </c>
      <c r="B63" s="102"/>
      <c r="C63" s="103"/>
    </row>
    <row r="64" spans="1:14" ht="30" customHeight="1" x14ac:dyDescent="0.35">
      <c r="A64" s="142">
        <v>0.7</v>
      </c>
      <c r="B64" s="143" t="s">
        <v>92</v>
      </c>
      <c r="C64" s="106"/>
    </row>
    <row r="65" spans="1:3" ht="30" customHeight="1" x14ac:dyDescent="0.35">
      <c r="A65" s="144">
        <v>0.1</v>
      </c>
      <c r="B65" s="145" t="s">
        <v>157</v>
      </c>
      <c r="C65" s="109"/>
    </row>
    <row r="66" spans="1:3" ht="30" customHeight="1" x14ac:dyDescent="0.35">
      <c r="A66" s="146">
        <f>1-SUM(A64:A65)</f>
        <v>0.20000000000000007</v>
      </c>
      <c r="B66" s="145" t="s">
        <v>158</v>
      </c>
      <c r="C66" s="109"/>
    </row>
    <row r="67" spans="1:3" ht="30" customHeight="1" thickBot="1" x14ac:dyDescent="0.4">
      <c r="A67" s="110"/>
      <c r="B67" s="111"/>
      <c r="C67" s="112"/>
    </row>
    <row r="68" spans="1:3" ht="50.15" customHeight="1" thickTop="1" thickBot="1" x14ac:dyDescent="0.4"/>
    <row r="69" spans="1:3" ht="30" customHeight="1" thickTop="1" thickBot="1" x14ac:dyDescent="0.4">
      <c r="A69" s="101" t="s">
        <v>159</v>
      </c>
      <c r="B69" s="101" t="s">
        <v>160</v>
      </c>
      <c r="C69" s="103"/>
    </row>
    <row r="70" spans="1:3" ht="30" customHeight="1" thickTop="1" x14ac:dyDescent="0.35">
      <c r="A70" s="147" t="s">
        <v>43</v>
      </c>
      <c r="B70" s="147" t="s">
        <v>39</v>
      </c>
      <c r="C70" s="106"/>
    </row>
    <row r="71" spans="1:3" ht="30" customHeight="1" thickBot="1" x14ac:dyDescent="0.4">
      <c r="A71" s="148" t="s">
        <v>46</v>
      </c>
      <c r="B71" s="193" t="s">
        <v>45</v>
      </c>
      <c r="C71" s="109"/>
    </row>
    <row r="72" spans="1:3" ht="30" customHeight="1" thickTop="1" thickBot="1" x14ac:dyDescent="0.4">
      <c r="A72" s="149"/>
      <c r="B72" s="149"/>
      <c r="C72" s="112"/>
    </row>
    <row r="73" spans="1:3" ht="50.15" customHeight="1" thickTop="1" x14ac:dyDescent="0.35"/>
  </sheetData>
  <sheetProtection selectLockedCells="1" selectUnlockedCells="1"/>
  <mergeCells count="1">
    <mergeCell ref="A51:B51"/>
  </mergeCells>
  <pageMargins left="0.70866141732283472" right="0.70866141732283472" top="0.74803149606299213" bottom="0.74803149606299213" header="0.31496062992125984" footer="0.31496062992125984"/>
  <pageSetup paperSize="9" scale="64" fitToHeight="0" orientation="landscape" r:id="rId1"/>
  <headerFooter>
    <oddFoote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O27"/>
  <sheetViews>
    <sheetView zoomScaleNormal="100" workbookViewId="0">
      <pane ySplit="6" topLeftCell="A7" activePane="bottomLeft" state="frozen"/>
      <selection activeCell="A4" sqref="A4"/>
      <selection pane="bottomLeft" activeCell="A4" sqref="A4:C4"/>
    </sheetView>
  </sheetViews>
  <sheetFormatPr defaultColWidth="37.54296875" defaultRowHeight="25" customHeight="1" x14ac:dyDescent="0.35"/>
  <cols>
    <col min="1" max="2" width="2.54296875" style="151" customWidth="1"/>
    <col min="3" max="3" width="60.54296875" style="151" customWidth="1"/>
    <col min="4" max="5" width="2.54296875" style="151" customWidth="1"/>
    <col min="6" max="6" width="60.54296875" style="151" customWidth="1"/>
    <col min="7" max="8" width="2.54296875" style="151" customWidth="1"/>
    <col min="9" max="9" width="60.54296875" style="151" customWidth="1"/>
    <col min="10" max="11" width="2.54296875" style="151" customWidth="1"/>
    <col min="12" max="12" width="60.54296875" style="151" customWidth="1"/>
    <col min="13" max="14" width="2.54296875" style="151" customWidth="1"/>
    <col min="15" max="15" width="60.54296875" style="151" customWidth="1"/>
    <col min="16" max="16384" width="37.54296875" style="151"/>
  </cols>
  <sheetData>
    <row r="1" spans="1:15" ht="25" customHeight="1" x14ac:dyDescent="0.35">
      <c r="A1" s="150" t="s">
        <v>0</v>
      </c>
      <c r="D1" s="150" t="s">
        <v>0</v>
      </c>
      <c r="G1" s="150" t="s">
        <v>0</v>
      </c>
      <c r="J1" s="150" t="s">
        <v>0</v>
      </c>
      <c r="M1" s="150" t="s">
        <v>0</v>
      </c>
    </row>
    <row r="2" spans="1:15" ht="25" customHeight="1" x14ac:dyDescent="0.35">
      <c r="A2" s="150" t="s">
        <v>161</v>
      </c>
      <c r="D2" s="150" t="s">
        <v>161</v>
      </c>
      <c r="G2" s="150" t="s">
        <v>161</v>
      </c>
      <c r="J2" s="150" t="s">
        <v>161</v>
      </c>
      <c r="M2" s="150" t="s">
        <v>161</v>
      </c>
    </row>
    <row r="3" spans="1:15" ht="25" customHeight="1" thickBot="1" x14ac:dyDescent="0.4"/>
    <row r="4" spans="1:15" ht="25" customHeight="1" thickTop="1" thickBot="1" x14ac:dyDescent="0.4">
      <c r="A4" s="332" t="s">
        <v>65</v>
      </c>
      <c r="B4" s="333"/>
      <c r="C4" s="334"/>
      <c r="D4" s="332" t="s">
        <v>70</v>
      </c>
      <c r="E4" s="333"/>
      <c r="F4" s="334"/>
      <c r="G4" s="332" t="s">
        <v>70</v>
      </c>
      <c r="H4" s="333"/>
      <c r="I4" s="334"/>
      <c r="J4" s="332" t="s">
        <v>70</v>
      </c>
      <c r="K4" s="333"/>
      <c r="L4" s="334"/>
      <c r="M4" s="332" t="s">
        <v>70</v>
      </c>
      <c r="N4" s="333"/>
      <c r="O4" s="334"/>
    </row>
    <row r="5" spans="1:15" ht="25" customHeight="1" thickTop="1" thickBot="1" x14ac:dyDescent="0.4">
      <c r="A5" s="331"/>
      <c r="B5" s="331"/>
      <c r="C5" s="331"/>
      <c r="D5" s="331" t="str">
        <f>'Factor Lookup'!A7</f>
        <v>Entry Level</v>
      </c>
      <c r="E5" s="331"/>
      <c r="F5" s="331"/>
      <c r="G5" s="331" t="str">
        <f>'Factor Lookup'!A8</f>
        <v>Professional / Skilled</v>
      </c>
      <c r="H5" s="331"/>
      <c r="I5" s="331"/>
      <c r="J5" s="331" t="str">
        <f>'Factor Lookup'!A9</f>
        <v>Management / Supervisor</v>
      </c>
      <c r="K5" s="331"/>
      <c r="L5" s="331"/>
      <c r="M5" s="331" t="str">
        <f>'Factor Lookup'!A10</f>
        <v>Executive / Director</v>
      </c>
      <c r="N5" s="331"/>
      <c r="O5" s="331"/>
    </row>
    <row r="6" spans="1:15" ht="25" customHeight="1" thickTop="1" x14ac:dyDescent="0.35">
      <c r="A6" s="152"/>
      <c r="B6" s="153"/>
      <c r="C6" s="154"/>
      <c r="D6" s="152"/>
      <c r="E6" s="153"/>
      <c r="F6" s="154"/>
      <c r="G6" s="152"/>
      <c r="H6" s="153"/>
      <c r="I6" s="154"/>
      <c r="J6" s="152"/>
      <c r="K6" s="153"/>
      <c r="L6" s="154"/>
      <c r="M6" s="152"/>
      <c r="N6" s="153"/>
      <c r="O6" s="154"/>
    </row>
    <row r="7" spans="1:15" ht="25" customHeight="1" x14ac:dyDescent="0.35">
      <c r="A7" s="155" t="s">
        <v>40</v>
      </c>
      <c r="B7" s="151" t="s">
        <v>162</v>
      </c>
      <c r="C7" s="156"/>
      <c r="D7" s="155" t="s">
        <v>40</v>
      </c>
      <c r="E7" s="151" t="s">
        <v>163</v>
      </c>
      <c r="F7" s="156"/>
      <c r="G7" s="155" t="s">
        <v>40</v>
      </c>
      <c r="H7" s="151" t="s">
        <v>163</v>
      </c>
      <c r="I7" s="156"/>
      <c r="J7" s="155" t="s">
        <v>40</v>
      </c>
      <c r="K7" s="151" t="s">
        <v>163</v>
      </c>
      <c r="L7" s="156"/>
      <c r="M7" s="155" t="s">
        <v>40</v>
      </c>
      <c r="N7" s="151" t="s">
        <v>163</v>
      </c>
      <c r="O7" s="156"/>
    </row>
    <row r="8" spans="1:15" s="158" customFormat="1" ht="100" customHeight="1" x14ac:dyDescent="0.35">
      <c r="A8" s="157"/>
      <c r="C8" s="159" t="s">
        <v>164</v>
      </c>
      <c r="D8" s="157"/>
      <c r="F8" s="159" t="s">
        <v>165</v>
      </c>
      <c r="G8" s="157"/>
      <c r="I8" s="159" t="s">
        <v>166</v>
      </c>
      <c r="J8" s="157"/>
      <c r="L8" s="159" t="s">
        <v>167</v>
      </c>
      <c r="M8" s="157"/>
      <c r="O8" s="159" t="s">
        <v>168</v>
      </c>
    </row>
    <row r="9" spans="1:15" ht="25" customHeight="1" x14ac:dyDescent="0.35">
      <c r="A9" s="155" t="s">
        <v>47</v>
      </c>
      <c r="B9" s="151" t="s">
        <v>169</v>
      </c>
      <c r="C9" s="156"/>
      <c r="D9" s="155" t="s">
        <v>47</v>
      </c>
      <c r="E9" s="151" t="s">
        <v>170</v>
      </c>
      <c r="F9" s="156"/>
      <c r="G9" s="155" t="s">
        <v>47</v>
      </c>
      <c r="H9" s="151" t="s">
        <v>170</v>
      </c>
      <c r="I9" s="156"/>
      <c r="J9" s="155" t="s">
        <v>47</v>
      </c>
      <c r="K9" s="151" t="s">
        <v>170</v>
      </c>
      <c r="L9" s="156"/>
      <c r="M9" s="155" t="s">
        <v>47</v>
      </c>
      <c r="N9" s="151" t="s">
        <v>170</v>
      </c>
      <c r="O9" s="156"/>
    </row>
    <row r="10" spans="1:15" s="158" customFormat="1" ht="100" customHeight="1" x14ac:dyDescent="0.35">
      <c r="A10" s="157"/>
      <c r="C10" s="159" t="s">
        <v>171</v>
      </c>
      <c r="D10" s="157"/>
      <c r="F10" s="159" t="s">
        <v>172</v>
      </c>
      <c r="G10" s="157"/>
      <c r="I10" s="159" t="s">
        <v>173</v>
      </c>
      <c r="J10" s="157"/>
      <c r="L10" s="159" t="s">
        <v>174</v>
      </c>
      <c r="M10" s="157"/>
      <c r="O10" s="159" t="s">
        <v>175</v>
      </c>
    </row>
    <row r="11" spans="1:15" ht="25" customHeight="1" x14ac:dyDescent="0.35">
      <c r="A11" s="160" t="s">
        <v>48</v>
      </c>
      <c r="B11" s="151" t="s">
        <v>176</v>
      </c>
      <c r="C11" s="156"/>
      <c r="D11" s="160" t="s">
        <v>48</v>
      </c>
      <c r="E11" s="151" t="s">
        <v>177</v>
      </c>
      <c r="F11" s="156"/>
      <c r="G11" s="160" t="s">
        <v>48</v>
      </c>
      <c r="H11" s="151" t="s">
        <v>177</v>
      </c>
      <c r="I11" s="156"/>
      <c r="J11" s="160" t="s">
        <v>48</v>
      </c>
      <c r="K11" s="151" t="s">
        <v>177</v>
      </c>
      <c r="L11" s="156"/>
      <c r="M11" s="160" t="s">
        <v>48</v>
      </c>
      <c r="N11" s="151" t="s">
        <v>177</v>
      </c>
      <c r="O11" s="156"/>
    </row>
    <row r="12" spans="1:15" s="158" customFormat="1" ht="100" customHeight="1" x14ac:dyDescent="0.35">
      <c r="A12" s="157"/>
      <c r="C12" s="159" t="s">
        <v>178</v>
      </c>
      <c r="D12" s="157"/>
      <c r="F12" s="159" t="s">
        <v>179</v>
      </c>
      <c r="G12" s="157"/>
      <c r="I12" s="159" t="s">
        <v>180</v>
      </c>
      <c r="J12" s="157"/>
      <c r="L12" s="159" t="s">
        <v>181</v>
      </c>
      <c r="M12" s="157"/>
      <c r="O12" s="159" t="s">
        <v>182</v>
      </c>
    </row>
    <row r="13" spans="1:15" ht="25" customHeight="1" x14ac:dyDescent="0.35">
      <c r="A13" s="160" t="s">
        <v>49</v>
      </c>
      <c r="B13" s="151" t="s">
        <v>183</v>
      </c>
      <c r="C13" s="156"/>
      <c r="D13" s="160" t="s">
        <v>49</v>
      </c>
      <c r="E13" s="151" t="s">
        <v>184</v>
      </c>
      <c r="F13" s="156"/>
      <c r="G13" s="160" t="s">
        <v>49</v>
      </c>
      <c r="H13" s="151" t="s">
        <v>184</v>
      </c>
      <c r="I13" s="156"/>
      <c r="J13" s="160" t="s">
        <v>49</v>
      </c>
      <c r="K13" s="151" t="s">
        <v>184</v>
      </c>
      <c r="L13" s="156"/>
      <c r="M13" s="160" t="s">
        <v>49</v>
      </c>
      <c r="N13" s="151" t="s">
        <v>184</v>
      </c>
      <c r="O13" s="156"/>
    </row>
    <row r="14" spans="1:15" s="158" customFormat="1" ht="100" customHeight="1" x14ac:dyDescent="0.35">
      <c r="A14" s="157"/>
      <c r="C14" s="159" t="s">
        <v>185</v>
      </c>
      <c r="D14" s="157"/>
      <c r="F14" s="159" t="s">
        <v>186</v>
      </c>
      <c r="G14" s="157"/>
      <c r="I14" s="159" t="s">
        <v>187</v>
      </c>
      <c r="J14" s="157"/>
      <c r="L14" s="159" t="s">
        <v>188</v>
      </c>
      <c r="M14" s="157"/>
      <c r="O14" s="159" t="s">
        <v>189</v>
      </c>
    </row>
    <row r="15" spans="1:15" ht="25" customHeight="1" x14ac:dyDescent="0.35">
      <c r="A15" s="160" t="s">
        <v>50</v>
      </c>
      <c r="B15" s="151" t="s">
        <v>190</v>
      </c>
      <c r="C15" s="156"/>
      <c r="D15" s="160" t="s">
        <v>50</v>
      </c>
      <c r="E15" s="151" t="s">
        <v>191</v>
      </c>
      <c r="F15" s="156"/>
      <c r="G15" s="160" t="s">
        <v>50</v>
      </c>
      <c r="H15" s="151" t="s">
        <v>191</v>
      </c>
      <c r="I15" s="156"/>
      <c r="J15" s="160" t="s">
        <v>50</v>
      </c>
      <c r="K15" s="151" t="s">
        <v>191</v>
      </c>
      <c r="L15" s="156"/>
      <c r="M15" s="160" t="s">
        <v>50</v>
      </c>
      <c r="N15" s="151" t="s">
        <v>191</v>
      </c>
      <c r="O15" s="156"/>
    </row>
    <row r="16" spans="1:15" s="158" customFormat="1" ht="100" customHeight="1" thickBot="1" x14ac:dyDescent="0.4">
      <c r="A16" s="161"/>
      <c r="B16" s="162"/>
      <c r="C16" s="163" t="s">
        <v>192</v>
      </c>
      <c r="D16" s="157"/>
      <c r="F16" s="159" t="s">
        <v>193</v>
      </c>
      <c r="G16" s="157"/>
      <c r="I16" s="159" t="s">
        <v>194</v>
      </c>
      <c r="J16" s="157"/>
      <c r="L16" s="159" t="s">
        <v>195</v>
      </c>
      <c r="M16" s="157"/>
      <c r="O16" s="159" t="s">
        <v>196</v>
      </c>
    </row>
    <row r="17" spans="1:15" ht="25" customHeight="1" thickTop="1" x14ac:dyDescent="0.35">
      <c r="A17" s="164"/>
      <c r="D17" s="160" t="s">
        <v>51</v>
      </c>
      <c r="E17" s="151" t="s">
        <v>197</v>
      </c>
      <c r="F17" s="156"/>
      <c r="G17" s="160" t="s">
        <v>51</v>
      </c>
      <c r="H17" s="151" t="s">
        <v>197</v>
      </c>
      <c r="I17" s="156"/>
      <c r="J17" s="160" t="s">
        <v>51</v>
      </c>
      <c r="K17" s="151" t="s">
        <v>197</v>
      </c>
      <c r="L17" s="156"/>
      <c r="M17" s="160" t="s">
        <v>51</v>
      </c>
      <c r="N17" s="151" t="s">
        <v>197</v>
      </c>
      <c r="O17" s="156"/>
    </row>
    <row r="18" spans="1:15" s="158" customFormat="1" ht="100" customHeight="1" x14ac:dyDescent="0.35">
      <c r="A18" s="165"/>
      <c r="C18" s="166"/>
      <c r="D18" s="157"/>
      <c r="F18" s="159" t="s">
        <v>198</v>
      </c>
      <c r="G18" s="157"/>
      <c r="I18" s="159" t="s">
        <v>199</v>
      </c>
      <c r="J18" s="157"/>
      <c r="L18" s="159" t="s">
        <v>200</v>
      </c>
      <c r="M18" s="157"/>
      <c r="O18" s="159" t="s">
        <v>201</v>
      </c>
    </row>
    <row r="19" spans="1:15" ht="25" customHeight="1" x14ac:dyDescent="0.35">
      <c r="A19" s="164"/>
      <c r="D19" s="160" t="s">
        <v>52</v>
      </c>
      <c r="E19" s="151" t="s">
        <v>202</v>
      </c>
      <c r="F19" s="156"/>
      <c r="G19" s="160" t="s">
        <v>52</v>
      </c>
      <c r="H19" s="151" t="s">
        <v>202</v>
      </c>
      <c r="I19" s="156"/>
      <c r="J19" s="160" t="s">
        <v>52</v>
      </c>
      <c r="K19" s="151" t="s">
        <v>202</v>
      </c>
      <c r="L19" s="156"/>
      <c r="M19" s="160" t="s">
        <v>52</v>
      </c>
      <c r="N19" s="151" t="s">
        <v>202</v>
      </c>
      <c r="O19" s="156"/>
    </row>
    <row r="20" spans="1:15" s="158" customFormat="1" ht="100" customHeight="1" x14ac:dyDescent="0.35">
      <c r="A20" s="165"/>
      <c r="C20" s="166"/>
      <c r="D20" s="157"/>
      <c r="F20" s="159" t="s">
        <v>203</v>
      </c>
      <c r="G20" s="157"/>
      <c r="I20" s="159" t="s">
        <v>204</v>
      </c>
      <c r="J20" s="157"/>
      <c r="L20" s="159" t="s">
        <v>205</v>
      </c>
      <c r="M20" s="157"/>
      <c r="O20" s="159" t="s">
        <v>206</v>
      </c>
    </row>
    <row r="21" spans="1:15" ht="25" customHeight="1" x14ac:dyDescent="0.35">
      <c r="A21" s="164"/>
      <c r="D21" s="160" t="s">
        <v>53</v>
      </c>
      <c r="E21" s="151" t="s">
        <v>207</v>
      </c>
      <c r="F21" s="156"/>
      <c r="G21" s="160" t="s">
        <v>53</v>
      </c>
      <c r="H21" s="151" t="s">
        <v>207</v>
      </c>
      <c r="I21" s="156"/>
      <c r="J21" s="160" t="s">
        <v>53</v>
      </c>
      <c r="K21" s="151" t="s">
        <v>207</v>
      </c>
      <c r="L21" s="156"/>
      <c r="M21" s="160" t="s">
        <v>53</v>
      </c>
      <c r="N21" s="151" t="s">
        <v>207</v>
      </c>
      <c r="O21" s="156"/>
    </row>
    <row r="22" spans="1:15" s="158" customFormat="1" ht="100" customHeight="1" x14ac:dyDescent="0.35">
      <c r="A22" s="165"/>
      <c r="C22" s="166"/>
      <c r="D22" s="157"/>
      <c r="F22" s="159" t="s">
        <v>208</v>
      </c>
      <c r="G22" s="157"/>
      <c r="I22" s="159" t="s">
        <v>209</v>
      </c>
      <c r="J22" s="157"/>
      <c r="L22" s="159" t="s">
        <v>210</v>
      </c>
      <c r="M22" s="157"/>
      <c r="O22" s="159" t="s">
        <v>211</v>
      </c>
    </row>
    <row r="23" spans="1:15" ht="25" customHeight="1" x14ac:dyDescent="0.35">
      <c r="A23" s="164"/>
      <c r="D23" s="160" t="s">
        <v>54</v>
      </c>
      <c r="E23" s="151" t="s">
        <v>212</v>
      </c>
      <c r="F23" s="156"/>
      <c r="G23" s="160" t="s">
        <v>54</v>
      </c>
      <c r="H23" s="151" t="s">
        <v>212</v>
      </c>
      <c r="I23" s="156"/>
      <c r="J23" s="160" t="s">
        <v>54</v>
      </c>
      <c r="K23" s="151" t="s">
        <v>212</v>
      </c>
      <c r="L23" s="156"/>
      <c r="M23" s="160" t="s">
        <v>54</v>
      </c>
      <c r="N23" s="151" t="s">
        <v>212</v>
      </c>
      <c r="O23" s="156"/>
    </row>
    <row r="24" spans="1:15" s="158" customFormat="1" ht="100" customHeight="1" x14ac:dyDescent="0.35">
      <c r="A24" s="165"/>
      <c r="C24" s="166"/>
      <c r="D24" s="157"/>
      <c r="F24" s="159" t="s">
        <v>213</v>
      </c>
      <c r="G24" s="157"/>
      <c r="I24" s="159" t="s">
        <v>214</v>
      </c>
      <c r="J24" s="157"/>
      <c r="L24" s="159" t="s">
        <v>215</v>
      </c>
      <c r="M24" s="157"/>
      <c r="O24" s="159" t="s">
        <v>216</v>
      </c>
    </row>
    <row r="25" spans="1:15" ht="25" customHeight="1" x14ac:dyDescent="0.35">
      <c r="A25" s="164"/>
      <c r="D25" s="160" t="s">
        <v>55</v>
      </c>
      <c r="E25" s="151" t="s">
        <v>217</v>
      </c>
      <c r="F25" s="156"/>
      <c r="G25" s="160" t="s">
        <v>55</v>
      </c>
      <c r="H25" s="151" t="s">
        <v>217</v>
      </c>
      <c r="I25" s="156"/>
      <c r="J25" s="160" t="s">
        <v>55</v>
      </c>
      <c r="K25" s="151" t="s">
        <v>217</v>
      </c>
      <c r="L25" s="156"/>
      <c r="M25" s="160" t="s">
        <v>55</v>
      </c>
      <c r="N25" s="151" t="s">
        <v>217</v>
      </c>
      <c r="O25" s="156"/>
    </row>
    <row r="26" spans="1:15" s="158" customFormat="1" ht="100" customHeight="1" thickBot="1" x14ac:dyDescent="0.4">
      <c r="A26" s="165"/>
      <c r="C26" s="166"/>
      <c r="D26" s="161"/>
      <c r="E26" s="162"/>
      <c r="F26" s="163" t="s">
        <v>218</v>
      </c>
      <c r="G26" s="161"/>
      <c r="H26" s="162"/>
      <c r="I26" s="163" t="s">
        <v>219</v>
      </c>
      <c r="J26" s="161"/>
      <c r="K26" s="162"/>
      <c r="L26" s="163" t="s">
        <v>220</v>
      </c>
      <c r="M26" s="161"/>
      <c r="N26" s="162"/>
      <c r="O26" s="163" t="s">
        <v>221</v>
      </c>
    </row>
    <row r="27" spans="1:15" ht="25" customHeight="1" thickTop="1" x14ac:dyDescent="0.35"/>
  </sheetData>
  <mergeCells count="10">
    <mergeCell ref="M5:O5"/>
    <mergeCell ref="A5:C5"/>
    <mergeCell ref="A4:C4"/>
    <mergeCell ref="D5:F5"/>
    <mergeCell ref="G5:I5"/>
    <mergeCell ref="J5:L5"/>
    <mergeCell ref="D4:F4"/>
    <mergeCell ref="G4:I4"/>
    <mergeCell ref="J4:L4"/>
    <mergeCell ref="M4:O4"/>
  </mergeCells>
  <printOptions horizontalCentered="1"/>
  <pageMargins left="0.70866141732283472" right="0.70866141732283472" top="0.74803149606299213" bottom="0.74803149606299213" header="0.31496062992125984" footer="0.31496062992125984"/>
  <pageSetup paperSize="9" orientation="portrait" r:id="rId1"/>
  <headerFooter>
    <oddFooter>Page &amp;P of &amp;N</oddFooter>
  </headerFooter>
  <colBreaks count="4" manualBreakCount="4">
    <brk id="3" max="1048575" man="1"/>
    <brk id="6" max="1048575" man="1"/>
    <brk id="9" max="1048575" man="1"/>
    <brk id="12"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SyracuseOfficeCustomData>{"createMode":"plain_doc","forceRefresh":"0"}</SyracuseOfficeCustomDat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A4E7A2771604E94991BB3D8DB50A152A" ma:contentTypeVersion="10" ma:contentTypeDescription="Create a new document." ma:contentTypeScope="" ma:versionID="23c44b6d3b616dda4a99874304d57285">
  <xsd:schema xmlns:xsd="http://www.w3.org/2001/XMLSchema" xmlns:xs="http://www.w3.org/2001/XMLSchema" xmlns:p="http://schemas.microsoft.com/office/2006/metadata/properties" xmlns:ns2="0ea93262-12f9-4c78-a8aa-10260c7d8740" targetNamespace="http://schemas.microsoft.com/office/2006/metadata/properties" ma:root="true" ma:fieldsID="d3abc1ee5e7bc68aa4938ed5e159711c" ns2:_="">
    <xsd:import namespace="0ea93262-12f9-4c78-a8aa-10260c7d8740"/>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a93262-12f9-4c78-a8aa-10260c7d874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8B550C-90EB-4E22-B36E-B872B9D3E1C6}">
  <ds:schemaRefs>
    <ds:schemaRef ds:uri="http://purl.org/dc/dcmitype/"/>
    <ds:schemaRef ds:uri="0ea93262-12f9-4c78-a8aa-10260c7d8740"/>
    <ds:schemaRef ds:uri="http://www.w3.org/XML/1998/namespace"/>
    <ds:schemaRef ds:uri="http://purl.org/dc/terms/"/>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s>
</ds:datastoreItem>
</file>

<file path=customXml/itemProps2.xml><?xml version="1.0" encoding="utf-8"?>
<ds:datastoreItem xmlns:ds="http://schemas.openxmlformats.org/officeDocument/2006/customXml" ds:itemID="{2F0CC0AA-6CD8-4E3E-917D-66DC1DEF3A68}">
  <ds:schemaRefs/>
</ds:datastoreItem>
</file>

<file path=customXml/itemProps3.xml><?xml version="1.0" encoding="utf-8"?>
<ds:datastoreItem xmlns:ds="http://schemas.openxmlformats.org/officeDocument/2006/customXml" ds:itemID="{E574488E-BE33-40CC-9278-0457DD89D000}">
  <ds:schemaRefs>
    <ds:schemaRef ds:uri="http://schemas.microsoft.com/sharepoint/v3/contenttype/forms"/>
  </ds:schemaRefs>
</ds:datastoreItem>
</file>

<file path=customXml/itemProps4.xml><?xml version="1.0" encoding="utf-8"?>
<ds:datastoreItem xmlns:ds="http://schemas.openxmlformats.org/officeDocument/2006/customXml" ds:itemID="{598CAEC3-A6C6-4FF3-8289-2C3C8BF35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a93262-12f9-4c78-a8aa-10260c7d87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30</vt:i4>
      </vt:variant>
    </vt:vector>
  </HeadingPairs>
  <TitlesOfParts>
    <vt:vector size="37" baseType="lpstr">
      <vt:lpstr>Setup</vt:lpstr>
      <vt:lpstr>A-KPA Review</vt:lpstr>
      <vt:lpstr>B-Competency Review</vt:lpstr>
      <vt:lpstr>C-Plan</vt:lpstr>
      <vt:lpstr>D-Summary</vt:lpstr>
      <vt:lpstr>Factor Lookup</vt:lpstr>
      <vt:lpstr>Competency Lookup</vt:lpstr>
      <vt:lpstr>'C-Plan'!KPA_B</vt:lpstr>
      <vt:lpstr>KPA_B</vt:lpstr>
      <vt:lpstr>'C-Plan'!KPA_C</vt:lpstr>
      <vt:lpstr>KPA_C</vt:lpstr>
      <vt:lpstr>'C-Plan'!KPA_D</vt:lpstr>
      <vt:lpstr>KPA_D</vt:lpstr>
      <vt:lpstr>'C-Plan'!KPA_E</vt:lpstr>
      <vt:lpstr>KPA_E</vt:lpstr>
      <vt:lpstr>'C-Plan'!KPA_F</vt:lpstr>
      <vt:lpstr>KPA_F</vt:lpstr>
      <vt:lpstr>'C-Plan'!KPA_G</vt:lpstr>
      <vt:lpstr>KPA_G</vt:lpstr>
      <vt:lpstr>'C-Plan'!KPA_H</vt:lpstr>
      <vt:lpstr>KPA_H</vt:lpstr>
      <vt:lpstr>'C-Plan'!KPA_I</vt:lpstr>
      <vt:lpstr>KPA_I</vt:lpstr>
      <vt:lpstr>'C-Plan'!KPA_J</vt:lpstr>
      <vt:lpstr>KPA_J</vt:lpstr>
      <vt:lpstr>'A-KPA Review'!Print_Area</vt:lpstr>
      <vt:lpstr>'B-Competency Review'!Print_Area</vt:lpstr>
      <vt:lpstr>'Competency Lookup'!Print_Area</vt:lpstr>
      <vt:lpstr>'C-Plan'!Print_Area</vt:lpstr>
      <vt:lpstr>'D-Summary'!Print_Area</vt:lpstr>
      <vt:lpstr>'Factor Lookup'!Print_Area</vt:lpstr>
      <vt:lpstr>Setup!Print_Area</vt:lpstr>
      <vt:lpstr>'A-KPA Review'!Print_Titles</vt:lpstr>
      <vt:lpstr>'B-Competency Review'!Print_Titles</vt:lpstr>
      <vt:lpstr>'Competency Lookup'!Print_Titles</vt:lpstr>
      <vt:lpstr>'C-Plan'!Print_Titles</vt:lpstr>
      <vt:lpstr>'Factor Lookup'!Print_Titles</vt:lpstr>
    </vt:vector>
  </TitlesOfParts>
  <Manager/>
  <Company>Wits Health Consortium</Company>
  <LinksUpToDate>false</LinksUpToDate>
  <SharedDoc>false</SharedDoc>
  <HyperlinkBase>www.witshealth.co.za</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WHC Performance Appraisal Model</dc:title>
  <dc:subject>Performance Review Workbook</dc:subject>
  <dc:creator>Farrell, Alf</dc:creator>
  <cp:keywords>Perforamnce, Appraisal, Review</cp:keywords>
  <dc:description>(c) Wits Health Consortium (Pty) Ltd</dc:description>
  <cp:lastModifiedBy>Craig Parker</cp:lastModifiedBy>
  <cp:revision/>
  <cp:lastPrinted>2023-11-17T07:27:59Z</cp:lastPrinted>
  <dcterms:created xsi:type="dcterms:W3CDTF">2016-05-18T10:09:18Z</dcterms:created>
  <dcterms:modified xsi:type="dcterms:W3CDTF">2023-11-17T07:41:21Z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0x010100A4E7A2771604E94991BB3D8DB50A152A</vt:lpwstr>
  </property>
</Properties>
</file>